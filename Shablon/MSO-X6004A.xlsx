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M156" i="3" l="1"/>
  <c r="M157" i="3"/>
  <c r="M158" i="3"/>
  <c r="M159" i="3"/>
  <c r="M160" i="3"/>
  <c r="M161" i="3"/>
  <c r="N48" i="3"/>
  <c r="N101" i="3"/>
  <c r="N100" i="3"/>
  <c r="N99" i="3"/>
  <c r="N98" i="3"/>
  <c r="N97" i="3"/>
  <c r="N96" i="3"/>
  <c r="N95" i="3"/>
  <c r="N94" i="3"/>
  <c r="N93" i="3"/>
  <c r="N92" i="3"/>
  <c r="N91" i="3"/>
  <c r="N90" i="3"/>
  <c r="N88" i="3"/>
  <c r="N87" i="3"/>
  <c r="N86" i="3"/>
  <c r="N85" i="3"/>
  <c r="N84" i="3"/>
  <c r="N83" i="3"/>
  <c r="N82" i="3"/>
  <c r="N81" i="3"/>
  <c r="N77" i="3"/>
  <c r="N76" i="3"/>
  <c r="N75" i="3"/>
  <c r="N74" i="3"/>
  <c r="N72" i="3"/>
  <c r="N71" i="3"/>
  <c r="N70" i="3"/>
  <c r="N69" i="3"/>
  <c r="N68" i="3"/>
  <c r="N67" i="3"/>
  <c r="N66" i="3"/>
  <c r="N65" i="3"/>
  <c r="N64" i="3"/>
  <c r="N63" i="3"/>
  <c r="N62" i="3"/>
  <c r="N61" i="3"/>
  <c r="N49" i="3"/>
  <c r="N50" i="3"/>
  <c r="N51" i="3"/>
  <c r="N52" i="3"/>
  <c r="N53" i="3"/>
  <c r="N54" i="3"/>
  <c r="N55" i="3"/>
  <c r="N56" i="3"/>
  <c r="N57" i="3"/>
  <c r="N58" i="3"/>
  <c r="N59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G138" i="3"/>
  <c r="H138" i="3" s="1"/>
  <c r="G137" i="3"/>
  <c r="H137" i="3" s="1"/>
  <c r="G136" i="3"/>
  <c r="H136" i="3" s="1"/>
  <c r="G135" i="3"/>
  <c r="H135" i="3" s="1"/>
  <c r="G134" i="3"/>
  <c r="H134" i="3"/>
  <c r="G133" i="3"/>
  <c r="H133" i="3" s="1"/>
  <c r="G132" i="3"/>
  <c r="H132" i="3" s="1"/>
  <c r="G131" i="3"/>
  <c r="H131" i="3" s="1"/>
  <c r="G130" i="3"/>
  <c r="H130" i="3" s="1"/>
  <c r="G129" i="3"/>
  <c r="H129" i="3" s="1"/>
  <c r="G128" i="3"/>
  <c r="H128" i="3"/>
  <c r="G127" i="3"/>
  <c r="H127" i="3" s="1"/>
  <c r="G126" i="3"/>
  <c r="H126" i="3" s="1"/>
  <c r="G125" i="3"/>
  <c r="H125" i="3" s="1"/>
  <c r="G124" i="3"/>
  <c r="H124" i="3" s="1"/>
  <c r="G123" i="3"/>
  <c r="H123" i="3" s="1"/>
  <c r="G122" i="3"/>
  <c r="H122" i="3"/>
  <c r="G121" i="3"/>
  <c r="H121" i="3" s="1"/>
  <c r="G120" i="3"/>
  <c r="H120" i="3" s="1"/>
  <c r="G119" i="3"/>
  <c r="H119" i="3" s="1"/>
  <c r="G118" i="3"/>
  <c r="H118" i="3"/>
  <c r="G117" i="3"/>
  <c r="H117" i="3" s="1"/>
  <c r="G116" i="3"/>
  <c r="H116" i="3" s="1"/>
  <c r="G115" i="3"/>
  <c r="H115" i="3" s="1"/>
  <c r="G113" i="3"/>
  <c r="H113" i="3" s="1"/>
  <c r="G112" i="3"/>
  <c r="H112" i="3" s="1"/>
  <c r="G111" i="3"/>
  <c r="H111" i="3" s="1"/>
  <c r="G110" i="3"/>
  <c r="H110" i="3" s="1"/>
  <c r="G109" i="3"/>
  <c r="H109" i="3" s="1"/>
  <c r="G108" i="3"/>
  <c r="H108" i="3" s="1"/>
  <c r="G107" i="3"/>
  <c r="H107" i="3" s="1"/>
  <c r="G106" i="3"/>
  <c r="H106" i="3" s="1"/>
  <c r="M155" i="3"/>
  <c r="M154" i="3"/>
  <c r="M150" i="3"/>
  <c r="M149" i="3"/>
  <c r="M148" i="3"/>
  <c r="M147" i="3"/>
  <c r="M146" i="3"/>
  <c r="M145" i="3"/>
</calcChain>
</file>

<file path=xl/sharedStrings.xml><?xml version="1.0" encoding="utf-8"?>
<sst xmlns="http://schemas.openxmlformats.org/spreadsheetml/2006/main" count="800" uniqueCount="680">
  <si>
    <t>Установленый коэффицент отклонения, мВ/дел</t>
  </si>
  <si>
    <t>Напряжение на выходе 9500B</t>
  </si>
  <si>
    <t xml:space="preserve"> </t>
  </si>
  <si>
    <t>Параметр</t>
  </si>
  <si>
    <t>Действительные значения</t>
  </si>
  <si>
    <t>Температура окружающего воздуха, °С</t>
  </si>
  <si>
    <t>Относительная влажность, %</t>
  </si>
  <si>
    <t>Атмосферное давление, кПа</t>
  </si>
  <si>
    <t>№ канала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</si>
  <si>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</si>
  <si>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</si>
  <si>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</si>
  <si>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600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</si>
  <si>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1,5 В</t>
    </r>
  </si>
  <si>
    <t>Показания осциллографа,"+"</t>
  </si>
  <si>
    <t>Показания осциллографа,"-"</t>
  </si>
  <si>
    <t>Допустимая погрешность, %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</si>
  <si>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</t>
    </r>
  </si>
  <si>
    <r>
      <t xml:space="preserve">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 мВ</t>
    </r>
  </si>
  <si>
    <r>
      <t xml:space="preserve">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 мВ</t>
    </r>
  </si>
  <si>
    <r>
      <t>К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>, мВ/дел</t>
    </r>
  </si>
  <si>
    <t>Допуск, дБ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</si>
  <si>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</si>
  <si>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2,4 В</t>
    </r>
  </si>
  <si>
    <t>Допустимое значение дрейфа нуля, мВ</t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</si>
  <si>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1,4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</si>
  <si>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1,8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</si>
  <si>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2,6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</si>
  <si>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5,0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</si>
  <si>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9,0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</si>
  <si>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17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</si>
  <si>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41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</si>
  <si>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81</t>
    </r>
  </si>
  <si>
    <t>Условия проведения поверки:</t>
  </si>
  <si>
    <r>
      <t xml:space="preserve">1 Внешний осмотр (п. 8.1):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</si>
  <si>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 8.2): </t>
    </r>
    <r>
      <rPr>
        <b/>
        <i/>
        <u/>
        <sz val="10"/>
        <rFont val="Times New Roman"/>
        <family val="1"/>
        <charset val="204"/>
      </rPr>
      <t>соответствует</t>
    </r>
  </si>
  <si>
    <t>Показания вольтметра,"+"</t>
  </si>
  <si>
    <t>Показания вольтметра,"-"</t>
  </si>
  <si>
    <r>
      <t xml:space="preserve">Относительная погрешность коэффициента отклонения, % </t>
    </r>
    <r>
      <rPr>
        <sz val="10"/>
        <rFont val="Symbol"/>
        <family val="1"/>
        <charset val="2"/>
      </rPr>
      <t>d</t>
    </r>
    <r>
      <rPr>
        <sz val="10"/>
        <rFont val="Times New Roman"/>
        <family val="1"/>
        <charset val="204"/>
      </rPr>
      <t>K</t>
    </r>
    <r>
      <rPr>
        <i/>
        <sz val="10"/>
        <rFont val="Times New Roman"/>
        <family val="1"/>
        <charset val="204"/>
      </rPr>
      <t>откл</t>
    </r>
  </si>
  <si>
    <t>№   
канала</t>
  </si>
  <si>
    <r>
      <rPr>
        <sz val="9"/>
        <rFont val="Times New Roman"/>
        <family val="1"/>
        <charset val="204"/>
      </rPr>
      <t>Базовая отностительная погрешность установки постоянного смещения, %</t>
    </r>
    <r>
      <rPr>
        <sz val="10"/>
        <rFont val="Symbol"/>
        <family val="1"/>
        <charset val="2"/>
      </rPr>
      <t xml:space="preserve"> d</t>
    </r>
    <r>
      <rPr>
        <sz val="10"/>
        <rFont val="Times New Roman"/>
        <family val="1"/>
        <charset val="204"/>
      </rPr>
      <t>K</t>
    </r>
    <r>
      <rPr>
        <vertAlign val="subscript"/>
        <sz val="10"/>
        <rFont val="Times New Roman"/>
        <family val="1"/>
        <charset val="204"/>
      </rPr>
      <t>откл</t>
    </r>
  </si>
  <si>
    <r>
      <t>U</t>
    </r>
    <r>
      <rPr>
        <vertAlign val="subscript"/>
        <sz val="10"/>
        <rFont val="Times New Roman"/>
        <family val="1"/>
        <charset val="204"/>
      </rPr>
      <t>вых 50 Мгц</t>
    </r>
    <r>
      <rPr>
        <sz val="10"/>
        <rFont val="Times New Roman"/>
        <family val="1"/>
        <charset val="204"/>
      </rPr>
      <t>, мВ (В)</t>
    </r>
  </si>
  <si>
    <r>
      <t>U</t>
    </r>
    <r>
      <rPr>
        <vertAlign val="subscript"/>
        <sz val="10"/>
        <rFont val="Times New Roman"/>
        <family val="1"/>
        <charset val="204"/>
      </rPr>
      <t>вх 50 Мгц</t>
    </r>
    <r>
      <rPr>
        <sz val="10"/>
        <rFont val="Times New Roman"/>
        <family val="1"/>
        <charset val="204"/>
      </rPr>
      <t>, мВ (В)</t>
    </r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</si>
  <si>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годен</t>
    </r>
  </si>
  <si>
    <t>Показания вольтметра "0", мв (В)</t>
  </si>
  <si>
    <r>
      <rPr>
        <sz val="9"/>
        <rFont val="Times New Roman"/>
        <family val="1"/>
        <charset val="204"/>
      </rPr>
      <t>Показания осциллографа</t>
    </r>
    <r>
      <rPr>
        <sz val="10"/>
        <rFont val="Times New Roman"/>
        <family val="1"/>
        <charset val="204"/>
      </rPr>
      <t xml:space="preserve"> "0", мв (В)</t>
    </r>
  </si>
  <si>
    <t>Показания вольтметра
"+", мв (В)</t>
  </si>
  <si>
    <t>Показания вольтметра
"-", мв (В)</t>
  </si>
  <si>
    <t>Показания осциллографа
"+", мв (В)</t>
  </si>
  <si>
    <t>Показания осциллографа
"-", мв (В)</t>
  </si>
  <si>
    <r>
      <t xml:space="preserve">Заказчик </t>
    </r>
    <r>
      <rPr>
        <b/>
        <i/>
        <u/>
        <sz val="10"/>
        <rFont val="Times New Roman"/>
        <family val="1"/>
        <charset val="204"/>
      </rPr>
      <t>отд. 320</t>
    </r>
  </si>
  <si>
    <r>
      <t xml:space="preserve">Методика поверки: </t>
    </r>
    <r>
      <rPr>
        <b/>
        <i/>
        <u/>
        <sz val="10"/>
        <rFont val="Times New Roman"/>
        <family val="1"/>
        <charset val="204"/>
      </rPr>
      <t xml:space="preserve">651-15-07 МП "Инструкция. Осциллографы цифровые DSOX6002A, MSOX6002A, DSOX6004A, MSOX6004A". Методика поверки. </t>
    </r>
  </si>
  <si>
    <t>Допустимые значения</t>
  </si>
  <si>
    <r>
      <t xml:space="preserve">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10</t>
    </r>
  </si>
  <si>
    <t>от 5 до 70</t>
  </si>
  <si>
    <t>от 84 до 106</t>
  </si>
  <si>
    <t>Нарпряжение питания, В</t>
  </si>
  <si>
    <t>от 100 до 250</t>
  </si>
  <si>
    <t>Частота, Гц</t>
  </si>
  <si>
    <t>от 50 до 60</t>
  </si>
  <si>
    <t xml:space="preserve">5 Определение абсолютной погрешности установки напряжения смещения (п. 8.4) </t>
  </si>
  <si>
    <t>5.1 Определение составляющей погрешности установки напряжения смещения из-за дрейфа "нуля" (п. 8.4.2)</t>
  </si>
  <si>
    <t>Измеренные значения Uср, мВ</t>
  </si>
  <si>
    <t>канал 1</t>
  </si>
  <si>
    <t>канал 2</t>
  </si>
  <si>
    <t>канал 3</t>
  </si>
  <si>
    <t>канал 4</t>
  </si>
  <si>
    <t>5.2 Определение базовой составляющей погрешности установки напряжения смещения (п.8.4.3)</t>
  </si>
  <si>
    <t>1 В/дел</t>
  </si>
  <si>
    <t>2 В/дел</t>
  </si>
  <si>
    <t>5 В/дел</t>
  </si>
  <si>
    <t>Напряжение на выходе встроенного калибратора, В</t>
  </si>
  <si>
    <r>
      <t xml:space="preserve">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0,4</t>
    </r>
  </si>
  <si>
    <r>
      <t xml:space="preserve">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0,9</t>
    </r>
  </si>
  <si>
    <r>
      <t xml:space="preserve">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1,6</t>
    </r>
  </si>
  <si>
    <r>
      <t xml:space="preserve">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2,2</t>
    </r>
  </si>
  <si>
    <r>
      <t xml:space="preserve">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2,4</t>
    </r>
  </si>
  <si>
    <t>6 Определение полосы пропускания (п. 8.5)</t>
  </si>
  <si>
    <r>
      <t>U</t>
    </r>
    <r>
      <rPr>
        <vertAlign val="subscript"/>
        <sz val="10"/>
        <rFont val="Times New Roman"/>
        <family val="1"/>
        <charset val="204"/>
      </rPr>
      <t>вых максf</t>
    </r>
    <r>
      <rPr>
        <sz val="10"/>
        <rFont val="Times New Roman"/>
        <family val="1"/>
        <charset val="204"/>
      </rPr>
      <t>, мВ (В)</t>
    </r>
  </si>
  <si>
    <r>
      <t>U</t>
    </r>
    <r>
      <rPr>
        <vertAlign val="subscript"/>
        <sz val="10"/>
        <rFont val="Times New Roman"/>
        <family val="1"/>
        <charset val="204"/>
      </rPr>
      <t>вх максf</t>
    </r>
    <r>
      <rPr>
        <sz val="10"/>
        <rFont val="Times New Roman"/>
        <family val="1"/>
        <charset val="204"/>
      </rPr>
      <t>, мВ (В)</t>
    </r>
  </si>
  <si>
    <r>
      <t>АЧХ</t>
    </r>
    <r>
      <rPr>
        <vertAlign val="subscript"/>
        <sz val="10"/>
        <rFont val="Times New Roman"/>
        <family val="1"/>
        <charset val="204"/>
      </rPr>
      <t>50 Мг</t>
    </r>
  </si>
  <si>
    <r>
      <t>АЧХ</t>
    </r>
    <r>
      <rPr>
        <vertAlign val="subscript"/>
        <sz val="9"/>
        <rFont val="Times New Roman"/>
        <family val="1"/>
        <charset val="204"/>
      </rPr>
      <t>максf</t>
    </r>
  </si>
  <si>
    <t xml:space="preserve">7 Определение абсолютной погрешности установки коэффициента отклонения (п. 8.6) </t>
  </si>
  <si>
    <t>8 Определение относительной погрешности по частоте внутреннего опорного генератора (п. 8.7)</t>
  </si>
  <si>
    <t>Показания частотомера, Гц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</si>
  <si>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0,5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-6</t>
    </r>
  </si>
  <si>
    <r>
      <rPr>
        <sz val="10"/>
        <rFont val="Symbol"/>
        <family val="1"/>
        <charset val="2"/>
      </rPr>
      <t>d</t>
    </r>
    <r>
      <rPr>
        <vertAlign val="subscript"/>
        <sz val="10"/>
        <rFont val="Times New Roman"/>
        <family val="1"/>
        <charset val="204"/>
      </rPr>
      <t>ОГ</t>
    </r>
    <r>
      <rPr>
        <sz val="10"/>
        <rFont val="Times New Roman"/>
        <family val="1"/>
        <charset val="204"/>
      </rPr>
      <t>, %</t>
    </r>
  </si>
  <si>
    <t>Канал 1</t>
  </si>
  <si>
    <t>Канал 2</t>
  </si>
  <si>
    <t>Канал 3</t>
  </si>
  <si>
    <t>Канал 4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</si>
  <si>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 xml:space="preserve">Fluke 9500B/9530 № 276568182; В7-83 № 358048; Ч1-93 № 1601, N5183A № MY50141495; 3458A № MY45045400 </t>
    </r>
  </si>
  <si>
    <r>
      <t>0,46</t>
    </r>
    <r>
      <rPr>
        <b/>
        <sz val="10"/>
        <rFont val="Symbol"/>
        <family val="1"/>
        <charset val="2"/>
      </rPr>
      <t>×</t>
    </r>
    <r>
      <rPr>
        <b/>
        <i/>
        <sz val="10"/>
        <rFont val="Times New Roman"/>
        <family val="1"/>
        <charset val="204"/>
      </rPr>
      <t>10</t>
    </r>
    <r>
      <rPr>
        <b/>
        <i/>
        <vertAlign val="superscript"/>
        <sz val="10"/>
        <rFont val="Times New Roman"/>
        <family val="1"/>
        <charset val="204"/>
      </rPr>
      <t>-6</t>
    </r>
  </si>
  <si>
    <r>
      <t xml:space="preserve">Протокол поверки № </t>
    </r>
    <r>
      <rPr>
        <b/>
        <i/>
        <u/>
        <sz val="10"/>
        <rFont val="Times New Roman"/>
        <family val="1"/>
        <charset val="204"/>
      </rPr>
      <t>10/18-08-2021/MY58031246</t>
    </r>
    <r>
      <rPr>
        <sz val="10"/>
        <rFont val="Times New Roman"/>
        <family val="1"/>
        <charset val="204"/>
      </rPr>
      <t xml:space="preserve"> осциллографа цифрового </t>
    </r>
    <r>
      <rPr>
        <b/>
        <sz val="10"/>
        <rFont val="Times New Roman"/>
        <family val="1"/>
        <charset val="204"/>
      </rPr>
      <t>MSOX6004A</t>
    </r>
    <r>
      <rPr>
        <sz val="10"/>
        <rFont val="Times New Roman"/>
        <family val="1"/>
        <charset val="204"/>
      </rPr>
      <t xml:space="preserve"> зав. № </t>
    </r>
    <r>
      <rPr>
        <b/>
        <i/>
        <u/>
        <sz val="10"/>
        <rFont val="Times New Roman"/>
        <family val="1"/>
        <charset val="204"/>
      </rPr>
      <t>MY58031246</t>
    </r>
    <r>
      <rPr>
        <sz val="10"/>
        <rFont val="Times New Roman"/>
        <family val="1"/>
        <charset val="204"/>
      </rPr>
      <t xml:space="preserve">, г.в. </t>
    </r>
    <r>
      <rPr>
        <b/>
        <i/>
        <u/>
        <sz val="10"/>
        <rFont val="Times New Roman"/>
        <family val="1"/>
        <charset val="204"/>
      </rPr>
      <t>2018</t>
    </r>
    <r>
      <rPr>
        <sz val="10"/>
        <rFont val="Times New Roman"/>
        <family val="1"/>
        <charset val="204"/>
      </rPr>
      <t xml:space="preserve">, рег. № </t>
    </r>
    <r>
      <rPr>
        <b/>
        <i/>
        <u/>
        <sz val="10"/>
        <rFont val="Times New Roman"/>
        <family val="1"/>
        <charset val="204"/>
      </rPr>
      <t>60450-15</t>
    </r>
    <r>
      <rPr>
        <sz val="10"/>
        <rFont val="Times New Roman"/>
        <family val="1"/>
        <charset val="204"/>
      </rPr>
      <t xml:space="preserve"> </t>
    </r>
  </si>
  <si>
    <r>
      <t xml:space="preserve">4 Идентификация программного обеспечения (п. 8.3) </t>
    </r>
    <r>
      <rPr>
        <b/>
        <i/>
        <u/>
        <sz val="10"/>
        <rFont val="Times New Roman"/>
        <family val="1"/>
        <charset val="204"/>
      </rPr>
      <t>07.20.2017102614</t>
    </r>
    <r>
      <rPr>
        <sz val="10"/>
        <rFont val="Times New Roman"/>
        <family val="1"/>
        <charset val="204"/>
      </rPr>
      <t xml:space="preserve"> (версия не ниже 06.00.2014040100)</t>
    </r>
  </si>
  <si>
    <t>Дата:</t>
  </si>
  <si>
    <t>_date</t>
  </si>
  <si>
    <t>Поверку провёл:</t>
  </si>
  <si>
    <t>(</t>
  </si>
  <si>
    <t>_pov</t>
  </si>
  <si>
    <t>)</t>
  </si>
  <si>
    <t>nul1_0</t>
  </si>
  <si>
    <t>nul2_0</t>
  </si>
  <si>
    <t>nul3_0</t>
  </si>
  <si>
    <t>nul4_0</t>
  </si>
  <si>
    <t>nul1_1</t>
  </si>
  <si>
    <t>nul2_1</t>
  </si>
  <si>
    <t>nul3_1</t>
  </si>
  <si>
    <t>nul4_1</t>
  </si>
  <si>
    <t>nul1_2</t>
  </si>
  <si>
    <t>nul2_2</t>
  </si>
  <si>
    <t>nul3_2</t>
  </si>
  <si>
    <t>nul4_2</t>
  </si>
  <si>
    <t>nul1_3</t>
  </si>
  <si>
    <t>nul2_3</t>
  </si>
  <si>
    <t>nul3_3</t>
  </si>
  <si>
    <t>nul4_3</t>
  </si>
  <si>
    <t>nul1_4</t>
  </si>
  <si>
    <t>nul2_4</t>
  </si>
  <si>
    <t>nul3_4</t>
  </si>
  <si>
    <t>nul4_4</t>
  </si>
  <si>
    <t>nul1_5</t>
  </si>
  <si>
    <t>nul2_5</t>
  </si>
  <si>
    <t>nul3_5</t>
  </si>
  <si>
    <t>nul4_5</t>
  </si>
  <si>
    <t>nul1_6</t>
  </si>
  <si>
    <t>nul2_6</t>
  </si>
  <si>
    <t>nul3_6</t>
  </si>
  <si>
    <t>nul4_6</t>
  </si>
  <si>
    <t>nul1_7</t>
  </si>
  <si>
    <t>nul2_7</t>
  </si>
  <si>
    <t>nul3_7</t>
  </si>
  <si>
    <t>nul4_7</t>
  </si>
  <si>
    <t>vofs1+0</t>
  </si>
  <si>
    <t>vofs1-0</t>
  </si>
  <si>
    <t>vofs01_0</t>
  </si>
  <si>
    <t>ovofs1+0</t>
  </si>
  <si>
    <t>ovofs1-0</t>
  </si>
  <si>
    <t>ovofs01_0</t>
  </si>
  <si>
    <t>vofs1+1</t>
  </si>
  <si>
    <t>vofs1+2</t>
  </si>
  <si>
    <t>vofs1+3</t>
  </si>
  <si>
    <t>vofs1+4</t>
  </si>
  <si>
    <t>vofs1+5</t>
  </si>
  <si>
    <t>vofs1+6</t>
  </si>
  <si>
    <t>vofs1+7</t>
  </si>
  <si>
    <t>vofs1+8</t>
  </si>
  <si>
    <t>vofs1+9</t>
  </si>
  <si>
    <t>vofs1+10</t>
  </si>
  <si>
    <t>vofs1+11</t>
  </si>
  <si>
    <t>vofs1-1</t>
  </si>
  <si>
    <t>vofs1-2</t>
  </si>
  <si>
    <t>vofs1-3</t>
  </si>
  <si>
    <t>vofs1-4</t>
  </si>
  <si>
    <t>vofs1-5</t>
  </si>
  <si>
    <t>vofs1-6</t>
  </si>
  <si>
    <t>vofs1-7</t>
  </si>
  <si>
    <t>vofs1-8</t>
  </si>
  <si>
    <t>vofs1-9</t>
  </si>
  <si>
    <t>vofs1-10</t>
  </si>
  <si>
    <t>vofs1-11</t>
  </si>
  <si>
    <t>vofs01_1</t>
  </si>
  <si>
    <t>vofs01_2</t>
  </si>
  <si>
    <t>vofs01_3</t>
  </si>
  <si>
    <t>vofs01_4</t>
  </si>
  <si>
    <t>vofs01_5</t>
  </si>
  <si>
    <t>vofs01_6</t>
  </si>
  <si>
    <t>vofs01_7</t>
  </si>
  <si>
    <t>vofs01_8</t>
  </si>
  <si>
    <t>vofs01_9</t>
  </si>
  <si>
    <t>vofs01_10</t>
  </si>
  <si>
    <t>vofs01_11</t>
  </si>
  <si>
    <t>ovofs1+1</t>
  </si>
  <si>
    <t>ovofs1+2</t>
  </si>
  <si>
    <t>ovofs1+3</t>
  </si>
  <si>
    <t>ovofs1+4</t>
  </si>
  <si>
    <t>ovofs1+5</t>
  </si>
  <si>
    <t>ovofs1+6</t>
  </si>
  <si>
    <t>ovofs1+7</t>
  </si>
  <si>
    <t>ovofs1+8</t>
  </si>
  <si>
    <t>ovofs1+9</t>
  </si>
  <si>
    <t>ovofs1+10</t>
  </si>
  <si>
    <t>ovofs1+11</t>
  </si>
  <si>
    <t>ovofs1-1</t>
  </si>
  <si>
    <t>ovofs1-2</t>
  </si>
  <si>
    <t>ovofs1-3</t>
  </si>
  <si>
    <t>ovofs1-4</t>
  </si>
  <si>
    <t>ovofs1-5</t>
  </si>
  <si>
    <t>ovofs1-6</t>
  </si>
  <si>
    <t>ovofs1-7</t>
  </si>
  <si>
    <t>ovofs1-8</t>
  </si>
  <si>
    <t>ovofs1-9</t>
  </si>
  <si>
    <t>ovofs1-10</t>
  </si>
  <si>
    <t>ovofs1-11</t>
  </si>
  <si>
    <t>ovofs01_1</t>
  </si>
  <si>
    <t>ovofs01_2</t>
  </si>
  <si>
    <t>ovofs01_3</t>
  </si>
  <si>
    <t>ovofs01_4</t>
  </si>
  <si>
    <t>ovofs01_5</t>
  </si>
  <si>
    <t>ovofs01_6</t>
  </si>
  <si>
    <t>ovofs01_7</t>
  </si>
  <si>
    <t>ovofs01_8</t>
  </si>
  <si>
    <t>ovofs01_9</t>
  </si>
  <si>
    <t>ovofs01_10</t>
  </si>
  <si>
    <t>ovofs01_11</t>
  </si>
  <si>
    <t>vofs2+0</t>
  </si>
  <si>
    <t>vofs2-0</t>
  </si>
  <si>
    <t>vofs02_0</t>
  </si>
  <si>
    <t>ovofs2+0</t>
  </si>
  <si>
    <t>ovofs2-0</t>
  </si>
  <si>
    <t>ovofs02_0</t>
  </si>
  <si>
    <t>vofs2+1</t>
  </si>
  <si>
    <t>vofs2+2</t>
  </si>
  <si>
    <t>vofs2+3</t>
  </si>
  <si>
    <t>vofs2+4</t>
  </si>
  <si>
    <t>vofs2+5</t>
  </si>
  <si>
    <t>vofs2+6</t>
  </si>
  <si>
    <t>vofs2+7</t>
  </si>
  <si>
    <t>vofs2+8</t>
  </si>
  <si>
    <t>vofs2+9</t>
  </si>
  <si>
    <t>vofs2+10</t>
  </si>
  <si>
    <t>vofs2+11</t>
  </si>
  <si>
    <t>vofs2-1</t>
  </si>
  <si>
    <t>vofs2-2</t>
  </si>
  <si>
    <t>vofs2-3</t>
  </si>
  <si>
    <t>vofs2-4</t>
  </si>
  <si>
    <t>vofs2-5</t>
  </si>
  <si>
    <t>vofs2-6</t>
  </si>
  <si>
    <t>vofs2-7</t>
  </si>
  <si>
    <t>vofs2-8</t>
  </si>
  <si>
    <t>vofs2-9</t>
  </si>
  <si>
    <t>vofs2-10</t>
  </si>
  <si>
    <t>vofs2-11</t>
  </si>
  <si>
    <t>vofs02_1</t>
  </si>
  <si>
    <t>vofs02_2</t>
  </si>
  <si>
    <t>vofs02_3</t>
  </si>
  <si>
    <t>vofs02_4</t>
  </si>
  <si>
    <t>vofs02_5</t>
  </si>
  <si>
    <t>vofs02_6</t>
  </si>
  <si>
    <t>vofs02_7</t>
  </si>
  <si>
    <t>vofs02_8</t>
  </si>
  <si>
    <t>vofs02_9</t>
  </si>
  <si>
    <t>vofs02_10</t>
  </si>
  <si>
    <t>vofs02_11</t>
  </si>
  <si>
    <t>ovofs2+1</t>
  </si>
  <si>
    <t>ovofs2+2</t>
  </si>
  <si>
    <t>ovofs2+3</t>
  </si>
  <si>
    <t>ovofs2+4</t>
  </si>
  <si>
    <t>ovofs2+5</t>
  </si>
  <si>
    <t>ovofs2+6</t>
  </si>
  <si>
    <t>ovofs2+7</t>
  </si>
  <si>
    <t>ovofs2+8</t>
  </si>
  <si>
    <t>ovofs2+9</t>
  </si>
  <si>
    <t>ovofs2+10</t>
  </si>
  <si>
    <t>ovofs2+11</t>
  </si>
  <si>
    <t>ovofs2-1</t>
  </si>
  <si>
    <t>ovofs2-2</t>
  </si>
  <si>
    <t>ovofs2-3</t>
  </si>
  <si>
    <t>ovofs2-4</t>
  </si>
  <si>
    <t>ovofs2-5</t>
  </si>
  <si>
    <t>ovofs2-6</t>
  </si>
  <si>
    <t>ovofs2-7</t>
  </si>
  <si>
    <t>ovofs2-8</t>
  </si>
  <si>
    <t>ovofs2-9</t>
  </si>
  <si>
    <t>ovofs2-10</t>
  </si>
  <si>
    <t>ovofs2-11</t>
  </si>
  <si>
    <t>ovofs02_1</t>
  </si>
  <si>
    <t>ovofs02_2</t>
  </si>
  <si>
    <t>ovofs02_3</t>
  </si>
  <si>
    <t>ovofs02_4</t>
  </si>
  <si>
    <t>ovofs02_5</t>
  </si>
  <si>
    <t>ovofs02_6</t>
  </si>
  <si>
    <t>ovofs02_7</t>
  </si>
  <si>
    <t>ovofs02_8</t>
  </si>
  <si>
    <t>ovofs02_9</t>
  </si>
  <si>
    <t>ovofs02_10</t>
  </si>
  <si>
    <t>ovofs02_11</t>
  </si>
  <si>
    <t>vofs3+0</t>
  </si>
  <si>
    <t>vofs3-0</t>
  </si>
  <si>
    <t>vofs03_0</t>
  </si>
  <si>
    <t>ovofs3+0</t>
  </si>
  <si>
    <t>ovofs3-0</t>
  </si>
  <si>
    <t>ovofs03_0</t>
  </si>
  <si>
    <t>vofs3+1</t>
  </si>
  <si>
    <t>vofs3+2</t>
  </si>
  <si>
    <t>vofs3+3</t>
  </si>
  <si>
    <t>vofs3-1</t>
  </si>
  <si>
    <t>vofs3-2</t>
  </si>
  <si>
    <t>vofs3-3</t>
  </si>
  <si>
    <t>vofs03_1</t>
  </si>
  <si>
    <t>vofs03_2</t>
  </si>
  <si>
    <t>vofs03_3</t>
  </si>
  <si>
    <t>ovofs3+1</t>
  </si>
  <si>
    <t>ovofs3+2</t>
  </si>
  <si>
    <t>ovofs3+3</t>
  </si>
  <si>
    <t>ovofs3-1</t>
  </si>
  <si>
    <t>ovofs3-2</t>
  </si>
  <si>
    <t>ovofs3-3</t>
  </si>
  <si>
    <t>ovofs03_1</t>
  </si>
  <si>
    <t>ovofs03_2</t>
  </si>
  <si>
    <t>ovofs03_3</t>
  </si>
  <si>
    <t>vofs4+0</t>
  </si>
  <si>
    <t>vofs4+1</t>
  </si>
  <si>
    <t>vofs4+2</t>
  </si>
  <si>
    <t>vofs4+3</t>
  </si>
  <si>
    <t>vofs4+4</t>
  </si>
  <si>
    <t>vofs4+5</t>
  </si>
  <si>
    <t>vofs4+6</t>
  </si>
  <si>
    <t>vofs4+7</t>
  </si>
  <si>
    <t>vofs3+4</t>
  </si>
  <si>
    <t>vofs3+5</t>
  </si>
  <si>
    <t>vofs3+6</t>
  </si>
  <si>
    <t>vofs3+7</t>
  </si>
  <si>
    <t>vofs3+8</t>
  </si>
  <si>
    <t>vofs3+9</t>
  </si>
  <si>
    <t>vofs3+10</t>
  </si>
  <si>
    <t>vofs3+11</t>
  </si>
  <si>
    <t>vofs3-4</t>
  </si>
  <si>
    <t>vofs3-5</t>
  </si>
  <si>
    <t>vofs3-6</t>
  </si>
  <si>
    <t>vofs3-7</t>
  </si>
  <si>
    <t>vofs3-8</t>
  </si>
  <si>
    <t>vofs3-9</t>
  </si>
  <si>
    <t>vofs3-10</t>
  </si>
  <si>
    <t>vofs3-11</t>
  </si>
  <si>
    <t>vofs03_4</t>
  </si>
  <si>
    <t>vofs03_5</t>
  </si>
  <si>
    <t>vofs03_6</t>
  </si>
  <si>
    <t>vofs03_7</t>
  </si>
  <si>
    <t>vofs03_8</t>
  </si>
  <si>
    <t>vofs03_9</t>
  </si>
  <si>
    <t>vofs03_10</t>
  </si>
  <si>
    <t>vofs03_11</t>
  </si>
  <si>
    <t>ovofs3+4</t>
  </si>
  <si>
    <t>ovofs3+5</t>
  </si>
  <si>
    <t>ovofs3+6</t>
  </si>
  <si>
    <t>ovofs3+7</t>
  </si>
  <si>
    <t>ovofs3+8</t>
  </si>
  <si>
    <t>ovofs3+9</t>
  </si>
  <si>
    <t>ovofs3+10</t>
  </si>
  <si>
    <t>ovofs3+11</t>
  </si>
  <si>
    <t>ovofs3-4</t>
  </si>
  <si>
    <t>ovofs3-5</t>
  </si>
  <si>
    <t>ovofs3-6</t>
  </si>
  <si>
    <t>ovofs3-7</t>
  </si>
  <si>
    <t>ovofs3-8</t>
  </si>
  <si>
    <t>ovofs3-9</t>
  </si>
  <si>
    <t>ovofs3-10</t>
  </si>
  <si>
    <t>ovofs3-11</t>
  </si>
  <si>
    <t>ovofs03_4</t>
  </si>
  <si>
    <t>ovofs03_5</t>
  </si>
  <si>
    <t>ovofs03_6</t>
  </si>
  <si>
    <t>ovofs03_7</t>
  </si>
  <si>
    <t>ovofs03_8</t>
  </si>
  <si>
    <t>ovofs03_9</t>
  </si>
  <si>
    <t>ovofs03_10</t>
  </si>
  <si>
    <t>ovofs03_11</t>
  </si>
  <si>
    <t>vofs4-0</t>
  </si>
  <si>
    <t>vofs04_0</t>
  </si>
  <si>
    <t>ovofs4+0</t>
  </si>
  <si>
    <t>ovofs4-0</t>
  </si>
  <si>
    <t>ovofs04_0</t>
  </si>
  <si>
    <t>vofs4+8</t>
  </si>
  <si>
    <t>vofs4+9</t>
  </si>
  <si>
    <t>vofs4+10</t>
  </si>
  <si>
    <t>vofs4+11</t>
  </si>
  <si>
    <t>vofs4-1</t>
  </si>
  <si>
    <t>vofs4-2</t>
  </si>
  <si>
    <t>vofs4-3</t>
  </si>
  <si>
    <t>vofs4-4</t>
  </si>
  <si>
    <t>vofs4-5</t>
  </si>
  <si>
    <t>vofs4-6</t>
  </si>
  <si>
    <t>vofs4-7</t>
  </si>
  <si>
    <t>vofs4-8</t>
  </si>
  <si>
    <t>vofs4-9</t>
  </si>
  <si>
    <t>vofs4-10</t>
  </si>
  <si>
    <t>vofs4-11</t>
  </si>
  <si>
    <t>vofs04_1</t>
  </si>
  <si>
    <t>vofs04_2</t>
  </si>
  <si>
    <t>vofs04_3</t>
  </si>
  <si>
    <t>vofs04_4</t>
  </si>
  <si>
    <t>vofs04_5</t>
  </si>
  <si>
    <t>vofs04_6</t>
  </si>
  <si>
    <t>vofs04_7</t>
  </si>
  <si>
    <t>vofs04_8</t>
  </si>
  <si>
    <t>vofs04_9</t>
  </si>
  <si>
    <t>vofs04_10</t>
  </si>
  <si>
    <t>vofs04_11</t>
  </si>
  <si>
    <t>ovofs4+1</t>
  </si>
  <si>
    <t>ovofs4+2</t>
  </si>
  <si>
    <t>ovofs4+3</t>
  </si>
  <si>
    <t>ovofs4+4</t>
  </si>
  <si>
    <t>ovofs4+5</t>
  </si>
  <si>
    <t>ovofs4+6</t>
  </si>
  <si>
    <t>ovofs4+7</t>
  </si>
  <si>
    <t>ovofs4+8</t>
  </si>
  <si>
    <t>ovofs4+9</t>
  </si>
  <si>
    <t>ovofs4+10</t>
  </si>
  <si>
    <t>ovofs4+11</t>
  </si>
  <si>
    <t>ovofs4-1</t>
  </si>
  <si>
    <t>ovofs4-2</t>
  </si>
  <si>
    <t>ovofs4-3</t>
  </si>
  <si>
    <t>ovofs4-4</t>
  </si>
  <si>
    <t>ovofs4-5</t>
  </si>
  <si>
    <t>ovofs4-6</t>
  </si>
  <si>
    <t>ovofs4-7</t>
  </si>
  <si>
    <t>ovofs4-8</t>
  </si>
  <si>
    <t>ovofs4-9</t>
  </si>
  <si>
    <t>ovofs4-10</t>
  </si>
  <si>
    <t>ovofs4-11</t>
  </si>
  <si>
    <t>ovofs04_1</t>
  </si>
  <si>
    <t>ovofs04_2</t>
  </si>
  <si>
    <t>ovofs04_3</t>
  </si>
  <si>
    <t>ovofs04_4</t>
  </si>
  <si>
    <t>ovofs04_5</t>
  </si>
  <si>
    <t>ovofs04_6</t>
  </si>
  <si>
    <t>ovofs04_7</t>
  </si>
  <si>
    <t>ovofs04_8</t>
  </si>
  <si>
    <t>ovofs04_9</t>
  </si>
  <si>
    <t>ovofs04_10</t>
  </si>
  <si>
    <t>ovofs04_11</t>
  </si>
  <si>
    <t>pdb1_50_3</t>
  </si>
  <si>
    <t>pin1_50_3</t>
  </si>
  <si>
    <t>pdb1_1_3</t>
  </si>
  <si>
    <t>pin1_1_3</t>
  </si>
  <si>
    <t>pdb1_50_4</t>
  </si>
  <si>
    <t>pin1_50_4</t>
  </si>
  <si>
    <t>pdb1_1_4</t>
  </si>
  <si>
    <t>pin1_1_4</t>
  </si>
  <si>
    <t>pdb1_50_5</t>
  </si>
  <si>
    <t>pin1_50_5</t>
  </si>
  <si>
    <t>pdb1_1_5</t>
  </si>
  <si>
    <t>pin1_1_5</t>
  </si>
  <si>
    <t>pdb1_50_6</t>
  </si>
  <si>
    <t>pin1_50_6</t>
  </si>
  <si>
    <t>pdb1_1_6</t>
  </si>
  <si>
    <t>pin1_1_6</t>
  </si>
  <si>
    <t>pdb1_50_7</t>
  </si>
  <si>
    <t>pin1_50_7</t>
  </si>
  <si>
    <t>pdb1_1_7</t>
  </si>
  <si>
    <t>pin1_1_7</t>
  </si>
  <si>
    <t>pdb1_50_0</t>
  </si>
  <si>
    <t>pin1_50_0</t>
  </si>
  <si>
    <t>pdb1_1_0</t>
  </si>
  <si>
    <t>pin1_1_0</t>
  </si>
  <si>
    <t>pdb1_50_1</t>
  </si>
  <si>
    <t>pin1_50_1</t>
  </si>
  <si>
    <t>pdb1_1_1</t>
  </si>
  <si>
    <t>pin1_1_1</t>
  </si>
  <si>
    <t>pdb1_50_2</t>
  </si>
  <si>
    <t>pin1_50_2</t>
  </si>
  <si>
    <t>pdb1_1_2</t>
  </si>
  <si>
    <t>pin1_1_2</t>
  </si>
  <si>
    <t>pdb2_50_0</t>
  </si>
  <si>
    <t>pin2_50_0</t>
  </si>
  <si>
    <t>pdb2_1_0</t>
  </si>
  <si>
    <t>pin2_1_0</t>
  </si>
  <si>
    <t>pdb2_50_1</t>
  </si>
  <si>
    <t>pin2_50_1</t>
  </si>
  <si>
    <t>pdb2_1_1</t>
  </si>
  <si>
    <t>pin2_1_1</t>
  </si>
  <si>
    <t>pdb2_50_2</t>
  </si>
  <si>
    <t>pin2_50_2</t>
  </si>
  <si>
    <t>pdb2_1_2</t>
  </si>
  <si>
    <t>pin2_1_2</t>
  </si>
  <si>
    <t>pdb2_50_3</t>
  </si>
  <si>
    <t>pin2_50_3</t>
  </si>
  <si>
    <t>pdb2_1_3</t>
  </si>
  <si>
    <t>pin2_1_3</t>
  </si>
  <si>
    <t>pdb2_50_4</t>
  </si>
  <si>
    <t>pin2_50_4</t>
  </si>
  <si>
    <t>pdb2_1_4</t>
  </si>
  <si>
    <t>pin2_1_4</t>
  </si>
  <si>
    <t>pdb2_50_5</t>
  </si>
  <si>
    <t>pin2_50_5</t>
  </si>
  <si>
    <t>pdb2_1_5</t>
  </si>
  <si>
    <t>pin2_1_5</t>
  </si>
  <si>
    <t>pdb2_50_6</t>
  </si>
  <si>
    <t>pin2_50_6</t>
  </si>
  <si>
    <t>pdb2_1_6</t>
  </si>
  <si>
    <t>pin2_1_6</t>
  </si>
  <si>
    <t>pdb2_50_7</t>
  </si>
  <si>
    <t>pin2_50_7</t>
  </si>
  <si>
    <t>pdb2_1_7</t>
  </si>
  <si>
    <t>pin2_1_7</t>
  </si>
  <si>
    <t>pdb3_50_0</t>
  </si>
  <si>
    <t>pin3_50_0</t>
  </si>
  <si>
    <t>pdb3_1_0</t>
  </si>
  <si>
    <t>pin3_1_0</t>
  </si>
  <si>
    <t>pdb3_50_1</t>
  </si>
  <si>
    <t>pin3_50_1</t>
  </si>
  <si>
    <t>pdb3_1_1</t>
  </si>
  <si>
    <t>pin3_1_1</t>
  </si>
  <si>
    <t>pdb3_50_2</t>
  </si>
  <si>
    <t>pin3_50_2</t>
  </si>
  <si>
    <t>pdb3_1_2</t>
  </si>
  <si>
    <t>pin3_1_2</t>
  </si>
  <si>
    <t>pdb3_50_3</t>
  </si>
  <si>
    <t>pin3_50_3</t>
  </si>
  <si>
    <t>pdb3_1_3</t>
  </si>
  <si>
    <t>pin3_1_3</t>
  </si>
  <si>
    <t>pdb3_50_4</t>
  </si>
  <si>
    <t>pin3_50_4</t>
  </si>
  <si>
    <t>pdb3_1_4</t>
  </si>
  <si>
    <t>pin3_1_4</t>
  </si>
  <si>
    <t>pdb3_50_5</t>
  </si>
  <si>
    <t>pin3_50_5</t>
  </si>
  <si>
    <t>pdb3_1_5</t>
  </si>
  <si>
    <t>pin3_1_5</t>
  </si>
  <si>
    <t>pdb3_50_6</t>
  </si>
  <si>
    <t>pin3_50_6</t>
  </si>
  <si>
    <t>pdb3_1_6</t>
  </si>
  <si>
    <t>pin3_1_6</t>
  </si>
  <si>
    <t>pdb3_50_7</t>
  </si>
  <si>
    <t>pin3_50_7</t>
  </si>
  <si>
    <t>pdb3_1_7</t>
  </si>
  <si>
    <t>pin3_1_7</t>
  </si>
  <si>
    <t>pdb4_50_0</t>
  </si>
  <si>
    <t>pin4_50_0</t>
  </si>
  <si>
    <t>pdb4_1_0</t>
  </si>
  <si>
    <t>pin4_1_0</t>
  </si>
  <si>
    <t>pdb4_50_1</t>
  </si>
  <si>
    <t>pin4_50_1</t>
  </si>
  <si>
    <t>pdb4_1_1</t>
  </si>
  <si>
    <t>pin4_1_1</t>
  </si>
  <si>
    <t>pdb4_50_2</t>
  </si>
  <si>
    <t>pin4_50_2</t>
  </si>
  <si>
    <t>pdb4_1_2</t>
  </si>
  <si>
    <t>pin4_1_2</t>
  </si>
  <si>
    <t>pdb4_50_3</t>
  </si>
  <si>
    <t>pin4_50_3</t>
  </si>
  <si>
    <t>pdb4_1_3</t>
  </si>
  <si>
    <t>pin4_1_3</t>
  </si>
  <si>
    <t>pdb4_50_4</t>
  </si>
  <si>
    <t>pin4_50_4</t>
  </si>
  <si>
    <t>pdb4_1_4</t>
  </si>
  <si>
    <t>pin4_1_4</t>
  </si>
  <si>
    <t>pdb4_50_5</t>
  </si>
  <si>
    <t>pin4_50_5</t>
  </si>
  <si>
    <t>pdb4_1_5</t>
  </si>
  <si>
    <t>pin4_1_5</t>
  </si>
  <si>
    <t>pdb4_50_6</t>
  </si>
  <si>
    <t>pin4_50_6</t>
  </si>
  <si>
    <t>pdb4_1_6</t>
  </si>
  <si>
    <t>pin4_1_6</t>
  </si>
  <si>
    <t>pdb4_50_7</t>
  </si>
  <si>
    <t>pin4_50_7</t>
  </si>
  <si>
    <t>pdb4_1_7</t>
  </si>
  <si>
    <t>pin4_1_7</t>
  </si>
  <si>
    <t>dcv1+0</t>
  </si>
  <si>
    <t>dcv1-0</t>
  </si>
  <si>
    <t>odcv1+0</t>
  </si>
  <si>
    <t>odcv1-0</t>
  </si>
  <si>
    <t>dcv1+1</t>
  </si>
  <si>
    <t>dcv1-1</t>
  </si>
  <si>
    <t>odcv1+1</t>
  </si>
  <si>
    <t>odcv1-1</t>
  </si>
  <si>
    <t>dcv1+2</t>
  </si>
  <si>
    <t>dcv1-2</t>
  </si>
  <si>
    <t>odcv1+2</t>
  </si>
  <si>
    <t>odcv1-2</t>
  </si>
  <si>
    <t>dcv1+3</t>
  </si>
  <si>
    <t>dcv1-3</t>
  </si>
  <si>
    <t>odcv1+3</t>
  </si>
  <si>
    <t>odcv1-3</t>
  </si>
  <si>
    <t>dcv1+4</t>
  </si>
  <si>
    <t>dcv1-4</t>
  </si>
  <si>
    <t>odcv1+4</t>
  </si>
  <si>
    <t>odcv1-4</t>
  </si>
  <si>
    <t>dcv1+5</t>
  </si>
  <si>
    <t>dcv1-5</t>
  </si>
  <si>
    <t>odcv1+5</t>
  </si>
  <si>
    <t>odcv1-5</t>
  </si>
  <si>
    <t>dcv1+6</t>
  </si>
  <si>
    <t>dcv1-6</t>
  </si>
  <si>
    <t>odcv1+6</t>
  </si>
  <si>
    <t>odcv1-6</t>
  </si>
  <si>
    <t>dcv1+7</t>
  </si>
  <si>
    <t>dcv1-7</t>
  </si>
  <si>
    <t>odcv1+7</t>
  </si>
  <si>
    <t>odcv1-7</t>
  </si>
  <si>
    <t>dcv2+0</t>
  </si>
  <si>
    <t>dcv2-0</t>
  </si>
  <si>
    <t>odcv2+0</t>
  </si>
  <si>
    <t>odcv2-0</t>
  </si>
  <si>
    <t>dcv2+1</t>
  </si>
  <si>
    <t>dcv2-1</t>
  </si>
  <si>
    <t>odcv2+1</t>
  </si>
  <si>
    <t>odcv2-1</t>
  </si>
  <si>
    <t>dcv2+2</t>
  </si>
  <si>
    <t>dcv2-2</t>
  </si>
  <si>
    <t>odcv2+2</t>
  </si>
  <si>
    <t>odcv2-2</t>
  </si>
  <si>
    <t>dcv2+3</t>
  </si>
  <si>
    <t>dcv2-3</t>
  </si>
  <si>
    <t>odcv2+3</t>
  </si>
  <si>
    <t>odcv2-3</t>
  </si>
  <si>
    <t>dcv2+4</t>
  </si>
  <si>
    <t>dcv2-4</t>
  </si>
  <si>
    <t>odcv2+4</t>
  </si>
  <si>
    <t>odcv2-4</t>
  </si>
  <si>
    <t>dcv2+5</t>
  </si>
  <si>
    <t>dcv2-5</t>
  </si>
  <si>
    <t>odcv2+5</t>
  </si>
  <si>
    <t>odcv2-5</t>
  </si>
  <si>
    <t>dcv2+6</t>
  </si>
  <si>
    <t>dcv2-6</t>
  </si>
  <si>
    <t>odcv2+6</t>
  </si>
  <si>
    <t>odcv2-6</t>
  </si>
  <si>
    <t>dcv2+7</t>
  </si>
  <si>
    <t>dcv2-7</t>
  </si>
  <si>
    <t>odcv2+7</t>
  </si>
  <si>
    <t>odcv2-7</t>
  </si>
  <si>
    <t>dcv3+0</t>
  </si>
  <si>
    <t>dcv3-0</t>
  </si>
  <si>
    <t>odcv3+0</t>
  </si>
  <si>
    <t>odcv3-0</t>
  </si>
  <si>
    <t>dcv3+1</t>
  </si>
  <si>
    <t>dcv3-1</t>
  </si>
  <si>
    <t>odcv3+1</t>
  </si>
  <si>
    <t>odcv3-1</t>
  </si>
  <si>
    <t>dcv3+2</t>
  </si>
  <si>
    <t>dcv3-2</t>
  </si>
  <si>
    <t>odcv3+2</t>
  </si>
  <si>
    <t>odcv3-2</t>
  </si>
  <si>
    <t>dcv3+3</t>
  </si>
  <si>
    <t>dcv3-3</t>
  </si>
  <si>
    <t>odcv3+3</t>
  </si>
  <si>
    <t>odcv3-3</t>
  </si>
  <si>
    <t>dcv3+4</t>
  </si>
  <si>
    <t>dcv3-4</t>
  </si>
  <si>
    <t>odcv3+4</t>
  </si>
  <si>
    <t>odcv3-4</t>
  </si>
  <si>
    <t>dcv3+5</t>
  </si>
  <si>
    <t>dcv3-5</t>
  </si>
  <si>
    <t>odcv3+5</t>
  </si>
  <si>
    <t>odcv3-5</t>
  </si>
  <si>
    <t>dcv3+6</t>
  </si>
  <si>
    <t>dcv3-6</t>
  </si>
  <si>
    <t>odcv3+6</t>
  </si>
  <si>
    <t>odcv3-6</t>
  </si>
  <si>
    <t>dcv3+7</t>
  </si>
  <si>
    <t>dcv3-7</t>
  </si>
  <si>
    <t>odcv3+7</t>
  </si>
  <si>
    <t>odcv3-7</t>
  </si>
  <si>
    <t>dcv4+0</t>
  </si>
  <si>
    <t>dcv4-0</t>
  </si>
  <si>
    <t>odcv4+0</t>
  </si>
  <si>
    <t>odcv4-0</t>
  </si>
  <si>
    <t>dcv4+1</t>
  </si>
  <si>
    <t>dcv4-1</t>
  </si>
  <si>
    <t>odcv4+1</t>
  </si>
  <si>
    <t>odcv4-1</t>
  </si>
  <si>
    <t>dcv4+2</t>
  </si>
  <si>
    <t>dcv4-2</t>
  </si>
  <si>
    <t>odcv4+2</t>
  </si>
  <si>
    <t>odcv4-2</t>
  </si>
  <si>
    <t>dcv4+3</t>
  </si>
  <si>
    <t>dcv4-3</t>
  </si>
  <si>
    <t>odcv4+3</t>
  </si>
  <si>
    <t>odcv4-3</t>
  </si>
  <si>
    <t>dcv4+4</t>
  </si>
  <si>
    <t>dcv4-4</t>
  </si>
  <si>
    <t>odcv4+4</t>
  </si>
  <si>
    <t>odcv4-4</t>
  </si>
  <si>
    <t>dcv4+5</t>
  </si>
  <si>
    <t>dcv4-5</t>
  </si>
  <si>
    <t>odcv4+5</t>
  </si>
  <si>
    <t>odcv4-5</t>
  </si>
  <si>
    <t>dcv4+6</t>
  </si>
  <si>
    <t>dcv4-6</t>
  </si>
  <si>
    <t>odcv4+6</t>
  </si>
  <si>
    <t>odcv4-6</t>
  </si>
  <si>
    <t>dcv4+7</t>
  </si>
  <si>
    <t>dcv4-7</t>
  </si>
  <si>
    <t>odcv4+7</t>
  </si>
  <si>
    <t>odcv4-7</t>
  </si>
  <si>
    <t>_temp</t>
  </si>
  <si>
    <t>_hum</t>
  </si>
  <si>
    <t>_pres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</si>
</sst>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"/>
    <numFmt numFmtId="166" formatCode="0.000000"/>
  </numFmts>
  <fonts count="16" x14ac:knownFonts="1">
    <font>
      <sz val="10"/>
      <name val="Arial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sz val="9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0"/>
      <name val="Arial"/>
      <family val="2"/>
      <charset val="204"/>
    </font>
    <font>
      <b/>
      <i/>
      <u/>
      <sz val="10"/>
      <name val="Times New Roman"/>
      <family val="1"/>
      <charset val="204"/>
    </font>
    <font>
      <sz val="10"/>
      <name val="Symbol"/>
      <family val="1"/>
      <charset val="2"/>
    </font>
    <font>
      <sz val="8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0"/>
      <name val="Symbol"/>
      <family val="1"/>
      <charset val="2"/>
    </font>
    <font>
      <b/>
      <i/>
      <vertAlign val="superscript"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vertAlign val="subscript"/>
      <sz val="9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6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/>
      <protection locked="0"/>
    </xf>
    <xf numFmtId="0" fontId="6" fillId="0" borderId="0" xfId="0" applyFont="1" applyBorder="1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66" fontId="10" fillId="0" borderId="0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left" vertical="justify" wrapText="1"/>
      <protection locked="0"/>
    </xf>
    <xf numFmtId="0" fontId="2" fillId="0" borderId="0" xfId="0" applyFont="1" applyBorder="1" applyAlignment="1" applyProtection="1">
      <alignment vertical="center" wrapText="1"/>
      <protection locked="0"/>
    </xf>
    <xf numFmtId="2" fontId="10" fillId="0" borderId="1" xfId="0" applyNumberFormat="1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/>
    </xf>
    <xf numFmtId="0" fontId="2" fillId="0" borderId="0" xfId="0" applyFont="1" applyAlignment="1"/>
    <xf numFmtId="0" fontId="2" fillId="0" borderId="8" xfId="0" applyFont="1" applyBorder="1"/>
    <xf numFmtId="0" fontId="2" fillId="0" borderId="8" xfId="0" applyFont="1" applyBorder="1" applyAlignment="1">
      <alignment horizontal="right"/>
    </xf>
    <xf numFmtId="0" fontId="2" fillId="0" borderId="0" xfId="0" applyFont="1" applyBorder="1"/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2" fontId="10" fillId="0" borderId="1" xfId="0" applyNumberFormat="1" applyFont="1" applyBorder="1" applyAlignment="1" applyProtection="1">
      <alignment horizontal="center" vertical="center"/>
    </xf>
    <xf numFmtId="164" fontId="10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10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2" fontId="10" fillId="0" borderId="2" xfId="0" applyNumberFormat="1" applyFont="1" applyBorder="1" applyAlignment="1" applyProtection="1">
      <alignment horizontal="center" vertical="center"/>
    </xf>
    <xf numFmtId="2" fontId="10" fillId="0" borderId="7" xfId="0" applyNumberFormat="1" applyFont="1" applyBorder="1" applyAlignment="1" applyProtection="1">
      <alignment horizontal="center" vertical="center"/>
    </xf>
    <xf numFmtId="0" fontId="15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Border="1" applyAlignment="1" applyProtection="1">
      <alignment horizontal="left" vertical="justify" wrapText="1"/>
      <protection locked="0"/>
    </xf>
    <xf numFmtId="4" fontId="10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quotePrefix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right"/>
    </xf>
    <xf numFmtId="0" fontId="10" fillId="0" borderId="8" xfId="0" applyFont="1" applyBorder="1" applyAlignment="1">
      <alignment horizontal="left"/>
    </xf>
    <xf numFmtId="0" fontId="10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5"/>
  <sheetViews>
    <sheetView tabSelected="1" zoomScaleNormal="100" workbookViewId="0">
      <selection sqref="A1:O1"/>
    </sheetView>
  </sheetViews>
  <sheetFormatPr defaultRowHeight="12.75" x14ac:dyDescent="0.2"/>
  <cols>
    <col min="1" max="1" width="6.5703125" customWidth="1"/>
    <col min="3" max="3" width="12" customWidth="1"/>
    <col min="4" max="4" width="11.140625" customWidth="1"/>
    <col min="5" max="6" width="7.85546875" customWidth="1"/>
    <col min="7" max="8" width="9.7109375" customWidth="1"/>
    <col min="9" max="9" width="10" customWidth="1"/>
    <col min="10" max="11" width="8" customWidth="1"/>
    <col min="12" max="12" width="7.42578125" customWidth="1"/>
    <col min="13" max="13" width="11.140625" customWidth="1"/>
    <col min="14" max="15" width="12" customWidth="1"/>
    <col min="16" max="16" width="10.85546875" customWidth="1"/>
    <col min="17" max="17" width="11.7109375" customWidth="1"/>
  </cols>
  <sheetData>
    <row r="1" spans="1:15" s="2" customFormat="1" ht="67.5" customHeight="1" x14ac:dyDescent="0.2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5" s="2" customFormat="1" ht="6.7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s="2" customFormat="1" ht="12.75" customHeight="1" x14ac:dyDescent="0.25">
      <c r="A3" s="59" t="s">
        <v>93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s="2" customFormat="1" ht="4.5" customHeight="1" x14ac:dyDescent="0.2">
      <c r="A4" s="5"/>
      <c r="B4" s="5"/>
      <c r="C4" s="5"/>
      <c r="D4" s="5"/>
      <c r="E4" s="5" t="s">
        <v>2</v>
      </c>
      <c r="F4" s="6"/>
      <c r="G4" s="4"/>
      <c r="H4" s="4"/>
      <c r="I4" s="4"/>
      <c r="J4" s="4"/>
      <c r="K4" s="4"/>
      <c r="L4" s="4"/>
      <c r="M4" s="4"/>
      <c r="N4" s="4"/>
      <c r="O4" s="4"/>
    </row>
    <row r="5" spans="1:15" s="2" customFormat="1" ht="12.75" customHeight="1" x14ac:dyDescent="0.25">
      <c r="A5" s="7" t="s">
        <v>50</v>
      </c>
      <c r="B5" s="5"/>
      <c r="C5" s="5"/>
      <c r="D5" s="5"/>
      <c r="E5" s="5"/>
      <c r="F5" s="6"/>
      <c r="G5" s="4"/>
      <c r="H5" s="4"/>
      <c r="I5" s="4"/>
      <c r="J5" s="4"/>
      <c r="K5" s="4"/>
      <c r="L5" s="4"/>
      <c r="M5" s="4"/>
      <c r="N5" s="4"/>
      <c r="O5" s="4"/>
    </row>
    <row r="6" spans="1:15" s="2" customFormat="1" ht="4.5" customHeight="1" x14ac:dyDescent="0.2">
      <c r="A6" s="5"/>
      <c r="B6" s="5"/>
      <c r="C6" s="5"/>
      <c r="D6" s="5"/>
      <c r="E6" s="5"/>
      <c r="F6" s="6"/>
      <c r="G6" s="4"/>
      <c r="H6" s="4"/>
      <c r="I6" s="4"/>
      <c r="J6" s="4"/>
      <c r="K6" s="4"/>
      <c r="L6" s="4"/>
      <c r="M6" s="4"/>
      <c r="N6" s="4"/>
      <c r="O6" s="4"/>
    </row>
    <row r="7" spans="1:15" s="2" customFormat="1" ht="15.75" customHeight="1" x14ac:dyDescent="0.25">
      <c r="A7" s="60" t="s">
        <v>51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</row>
    <row r="8" spans="1:15" s="2" customFormat="1" ht="8.25" customHeight="1" x14ac:dyDescent="0.2">
      <c r="A8" s="8"/>
      <c r="B8" s="8"/>
      <c r="C8" s="8"/>
      <c r="D8" s="8"/>
      <c r="E8" s="8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s="2" customFormat="1" x14ac:dyDescent="0.2">
      <c r="A9" s="8" t="s">
        <v>33</v>
      </c>
      <c r="B9" s="8"/>
      <c r="C9" s="8"/>
      <c r="D9" s="8"/>
      <c r="E9" s="8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s="2" customFormat="1" ht="6" customHeight="1" x14ac:dyDescent="0.2">
      <c r="A10" s="8"/>
      <c r="B10" s="8"/>
      <c r="C10" s="8"/>
      <c r="D10" s="8"/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s="2" customFormat="1" ht="26.25" customHeight="1" x14ac:dyDescent="0.2">
      <c r="A11" s="64" t="s">
        <v>3</v>
      </c>
      <c r="B11" s="65"/>
      <c r="C11" s="65"/>
      <c r="D11" s="66"/>
      <c r="E11" s="44" t="s">
        <v>4</v>
      </c>
      <c r="F11" s="46"/>
      <c r="G11" s="38" t="s">
        <v>52</v>
      </c>
      <c r="H11" s="38"/>
      <c r="I11" s="4"/>
      <c r="J11" s="4"/>
      <c r="K11" s="4"/>
      <c r="L11" s="4"/>
      <c r="M11" s="4"/>
      <c r="N11" s="4"/>
      <c r="O11" s="4"/>
    </row>
    <row r="12" spans="1:15" s="2" customFormat="1" ht="13.5" customHeight="1" x14ac:dyDescent="0.25">
      <c r="A12" s="51" t="s">
        <v>5</v>
      </c>
      <c r="B12" s="51"/>
      <c r="C12" s="51"/>
      <c r="D12" s="51"/>
      <c r="E12" s="54" t="s">
        <v>677</v>
      </c>
      <c r="F12" s="54"/>
      <c r="G12" s="42" t="s">
        <v>53</v>
      </c>
      <c r="H12" s="42"/>
      <c r="I12" s="4"/>
      <c r="J12" s="4"/>
      <c r="K12" s="4"/>
      <c r="L12" s="4"/>
      <c r="M12" s="4"/>
      <c r="N12" s="4"/>
      <c r="O12" s="4"/>
    </row>
    <row r="13" spans="1:15" s="2" customFormat="1" ht="13.5" customHeight="1" x14ac:dyDescent="0.25">
      <c r="A13" s="51" t="s">
        <v>6</v>
      </c>
      <c r="B13" s="51"/>
      <c r="C13" s="51"/>
      <c r="D13" s="51"/>
      <c r="E13" s="54" t="s">
        <v>678</v>
      </c>
      <c r="F13" s="54"/>
      <c r="G13" s="42" t="s">
        <v>54</v>
      </c>
      <c r="H13" s="42"/>
      <c r="I13" s="4"/>
      <c r="J13" s="4"/>
      <c r="K13" s="4"/>
      <c r="L13" s="4"/>
      <c r="M13" s="4"/>
      <c r="N13" s="4"/>
      <c r="O13" s="4"/>
    </row>
    <row r="14" spans="1:15" s="2" customFormat="1" ht="13.5" customHeight="1" x14ac:dyDescent="0.25">
      <c r="A14" s="51" t="s">
        <v>7</v>
      </c>
      <c r="B14" s="51"/>
      <c r="C14" s="51"/>
      <c r="D14" s="51"/>
      <c r="E14" s="54" t="s">
        <v>679</v>
      </c>
      <c r="F14" s="54"/>
      <c r="G14" s="42" t="s">
        <v>55</v>
      </c>
      <c r="H14" s="42"/>
      <c r="I14" s="4"/>
      <c r="J14" s="4"/>
      <c r="K14" s="4"/>
      <c r="L14" s="4"/>
      <c r="M14" s="4"/>
      <c r="N14" s="4"/>
      <c r="O14" s="4"/>
    </row>
    <row r="15" spans="1:15" s="2" customFormat="1" ht="13.5" customHeight="1" x14ac:dyDescent="0.2">
      <c r="A15" s="51" t="s">
        <v>56</v>
      </c>
      <c r="B15" s="51"/>
      <c r="C15" s="51"/>
      <c r="D15" s="51"/>
      <c r="E15" s="43">
        <v>220.1</v>
      </c>
      <c r="F15" s="43"/>
      <c r="G15" s="42" t="s">
        <v>57</v>
      </c>
      <c r="H15" s="42"/>
      <c r="I15" s="4"/>
      <c r="J15" s="4"/>
      <c r="K15" s="4"/>
      <c r="L15" s="4"/>
      <c r="M15" s="4"/>
      <c r="N15" s="4"/>
      <c r="O15" s="4"/>
    </row>
    <row r="16" spans="1:15" s="2" customFormat="1" ht="13.5" customHeight="1" x14ac:dyDescent="0.2">
      <c r="A16" s="51" t="s">
        <v>58</v>
      </c>
      <c r="B16" s="51"/>
      <c r="C16" s="51"/>
      <c r="D16" s="51"/>
      <c r="E16" s="52">
        <v>50</v>
      </c>
      <c r="F16" s="52"/>
      <c r="G16" s="42" t="s">
        <v>59</v>
      </c>
      <c r="H16" s="42"/>
      <c r="I16" s="4"/>
      <c r="J16" s="4"/>
      <c r="K16" s="4"/>
      <c r="L16" s="4"/>
      <c r="M16" s="4"/>
      <c r="N16" s="4"/>
      <c r="O16" s="4"/>
    </row>
    <row r="17" spans="1:16" s="2" customFormat="1" ht="5.25" customHeight="1" x14ac:dyDescent="0.2">
      <c r="A17" s="12"/>
      <c r="B17" s="12"/>
      <c r="C17" s="12"/>
      <c r="D17" s="13"/>
      <c r="E17" s="14"/>
      <c r="F17" s="15"/>
      <c r="G17" s="4"/>
      <c r="H17" s="4"/>
      <c r="I17" s="4"/>
      <c r="J17" s="4"/>
      <c r="K17" s="4"/>
      <c r="L17" s="4"/>
      <c r="M17" s="4"/>
      <c r="N17" s="4"/>
      <c r="O17" s="4"/>
    </row>
    <row r="18" spans="1:16" s="2" customFormat="1" ht="17.25" customHeight="1" x14ac:dyDescent="0.2">
      <c r="A18" s="53" t="s">
        <v>91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3"/>
    </row>
    <row r="19" spans="1:16" s="2" customFormat="1" ht="4.5" customHeight="1" x14ac:dyDescent="0.2">
      <c r="A19" s="8"/>
      <c r="B19" s="8"/>
      <c r="C19" s="8"/>
      <c r="D19" s="8"/>
      <c r="E19" s="8"/>
      <c r="F19" s="6"/>
      <c r="G19" s="4"/>
      <c r="H19" s="4"/>
      <c r="I19" s="4"/>
      <c r="J19" s="4"/>
      <c r="K19" s="4"/>
      <c r="L19" s="4"/>
      <c r="M19" s="4"/>
      <c r="N19" s="4"/>
      <c r="O19" s="4"/>
    </row>
    <row r="20" spans="1:16" s="2" customFormat="1" ht="13.5" x14ac:dyDescent="0.25">
      <c r="A20" s="8" t="s">
        <v>34</v>
      </c>
      <c r="B20" s="8"/>
      <c r="C20" s="8"/>
      <c r="D20" s="8"/>
      <c r="E20" s="8"/>
      <c r="F20" s="16"/>
      <c r="G20" s="17"/>
      <c r="H20" s="4"/>
      <c r="I20" s="4"/>
      <c r="J20" s="4"/>
      <c r="K20" s="4"/>
      <c r="L20" s="4"/>
      <c r="M20" s="4"/>
      <c r="N20" s="4"/>
      <c r="O20" s="4"/>
    </row>
    <row r="21" spans="1:16" s="2" customFormat="1" ht="6" customHeight="1" x14ac:dyDescent="0.2">
      <c r="A21" s="8"/>
      <c r="B21" s="8"/>
      <c r="C21" s="8"/>
      <c r="D21" s="8"/>
      <c r="E21" s="8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6" s="2" customFormat="1" ht="13.5" x14ac:dyDescent="0.25">
      <c r="A22" s="8" t="s">
        <v>35</v>
      </c>
      <c r="B22" s="8"/>
      <c r="C22" s="8"/>
      <c r="D22" s="8"/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6" s="2" customFormat="1" ht="5.25" customHeight="1" x14ac:dyDescent="0.2">
      <c r="A23" s="8"/>
      <c r="B23" s="8"/>
      <c r="C23" s="8"/>
      <c r="D23" s="8"/>
      <c r="E23" s="8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6" s="2" customFormat="1" ht="12.75" customHeight="1" x14ac:dyDescent="0.25">
      <c r="A24" s="8" t="s">
        <v>94</v>
      </c>
      <c r="B24" s="8"/>
      <c r="C24" s="8"/>
      <c r="D24" s="8"/>
      <c r="E24" s="8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6" s="2" customFormat="1" ht="5.25" customHeight="1" x14ac:dyDescent="0.2">
      <c r="A25" s="8"/>
      <c r="B25" s="8"/>
      <c r="C25" s="8"/>
      <c r="D25" s="8"/>
      <c r="E25" s="8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6" s="1" customFormat="1" x14ac:dyDescent="0.2">
      <c r="A26" s="18" t="s">
        <v>60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6" s="1" customFormat="1" ht="6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spans="1:16" s="1" customFormat="1" x14ac:dyDescent="0.2">
      <c r="A28" s="18" t="s">
        <v>61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1:16" s="1" customFormat="1" ht="6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6" s="1" customFormat="1" ht="12.75" customHeight="1" x14ac:dyDescent="0.2">
      <c r="A30" s="38" t="s">
        <v>0</v>
      </c>
      <c r="B30" s="38"/>
      <c r="C30" s="38"/>
      <c r="D30" s="38" t="s">
        <v>24</v>
      </c>
      <c r="E30" s="38"/>
      <c r="F30" s="42" t="s">
        <v>62</v>
      </c>
      <c r="G30" s="42"/>
      <c r="H30" s="42"/>
      <c r="I30" s="42"/>
      <c r="J30" s="42"/>
      <c r="K30" s="42"/>
      <c r="L30" s="42"/>
      <c r="M30" s="42"/>
      <c r="N30" s="18"/>
      <c r="O30" s="18"/>
    </row>
    <row r="31" spans="1:16" s="1" customFormat="1" x14ac:dyDescent="0.2">
      <c r="A31" s="38"/>
      <c r="B31" s="38"/>
      <c r="C31" s="38"/>
      <c r="D31" s="38"/>
      <c r="E31" s="38"/>
      <c r="F31" s="42"/>
      <c r="G31" s="42"/>
      <c r="H31" s="42"/>
      <c r="I31" s="42"/>
      <c r="J31" s="42"/>
      <c r="K31" s="42"/>
      <c r="L31" s="42"/>
      <c r="M31" s="42"/>
      <c r="N31" s="18"/>
      <c r="O31" s="18"/>
    </row>
    <row r="32" spans="1:16" s="1" customFormat="1" x14ac:dyDescent="0.2">
      <c r="A32" s="38"/>
      <c r="B32" s="38"/>
      <c r="C32" s="38"/>
      <c r="D32" s="38"/>
      <c r="E32" s="38"/>
      <c r="F32" s="42" t="s">
        <v>63</v>
      </c>
      <c r="G32" s="42"/>
      <c r="H32" s="42" t="s">
        <v>64</v>
      </c>
      <c r="I32" s="42"/>
      <c r="J32" s="42" t="s">
        <v>65</v>
      </c>
      <c r="K32" s="42"/>
      <c r="L32" s="42" t="s">
        <v>66</v>
      </c>
      <c r="M32" s="42"/>
      <c r="N32" s="18"/>
      <c r="O32" s="18"/>
    </row>
    <row r="33" spans="1:15" s="1" customFormat="1" ht="13.5" x14ac:dyDescent="0.25">
      <c r="A33" s="42">
        <v>5</v>
      </c>
      <c r="B33" s="42"/>
      <c r="C33" s="42"/>
      <c r="D33" s="50" t="s">
        <v>25</v>
      </c>
      <c r="E33" s="50"/>
      <c r="F33" s="49" t="s">
        <v>101</v>
      </c>
      <c r="G33" s="49"/>
      <c r="H33" s="49" t="s">
        <v>102</v>
      </c>
      <c r="I33" s="49"/>
      <c r="J33" s="49" t="s">
        <v>103</v>
      </c>
      <c r="K33" s="49"/>
      <c r="L33" s="49" t="s">
        <v>104</v>
      </c>
      <c r="M33" s="49"/>
      <c r="N33" s="18"/>
      <c r="O33" s="18"/>
    </row>
    <row r="34" spans="1:15" s="1" customFormat="1" ht="13.5" x14ac:dyDescent="0.25">
      <c r="A34" s="42">
        <v>10</v>
      </c>
      <c r="B34" s="42"/>
      <c r="C34" s="42"/>
      <c r="D34" s="50" t="s">
        <v>26</v>
      </c>
      <c r="E34" s="50"/>
      <c r="F34" s="49" t="s">
        <v>105</v>
      </c>
      <c r="G34" s="49"/>
      <c r="H34" s="49" t="s">
        <v>106</v>
      </c>
      <c r="I34" s="49"/>
      <c r="J34" s="49" t="s">
        <v>107</v>
      </c>
      <c r="K34" s="49"/>
      <c r="L34" s="49" t="s">
        <v>108</v>
      </c>
      <c r="M34" s="49"/>
      <c r="N34" s="18"/>
      <c r="O34" s="18"/>
    </row>
    <row r="35" spans="1:15" s="1" customFormat="1" ht="13.5" x14ac:dyDescent="0.25">
      <c r="A35" s="42">
        <v>20</v>
      </c>
      <c r="B35" s="42"/>
      <c r="C35" s="42"/>
      <c r="D35" s="50" t="s">
        <v>27</v>
      </c>
      <c r="E35" s="50"/>
      <c r="F35" s="49" t="s">
        <v>109</v>
      </c>
      <c r="G35" s="49"/>
      <c r="H35" s="49" t="s">
        <v>110</v>
      </c>
      <c r="I35" s="49"/>
      <c r="J35" s="49" t="s">
        <v>111</v>
      </c>
      <c r="K35" s="49"/>
      <c r="L35" s="49" t="s">
        <v>112</v>
      </c>
      <c r="M35" s="49"/>
      <c r="N35" s="18"/>
      <c r="O35" s="18"/>
    </row>
    <row r="36" spans="1:15" s="1" customFormat="1" ht="13.5" x14ac:dyDescent="0.25">
      <c r="A36" s="42">
        <v>50</v>
      </c>
      <c r="B36" s="42"/>
      <c r="C36" s="42"/>
      <c r="D36" s="50" t="s">
        <v>28</v>
      </c>
      <c r="E36" s="50"/>
      <c r="F36" s="49" t="s">
        <v>113</v>
      </c>
      <c r="G36" s="49"/>
      <c r="H36" s="49" t="s">
        <v>114</v>
      </c>
      <c r="I36" s="49"/>
      <c r="J36" s="49" t="s">
        <v>115</v>
      </c>
      <c r="K36" s="49"/>
      <c r="L36" s="49" t="s">
        <v>116</v>
      </c>
      <c r="M36" s="49"/>
      <c r="N36" s="18"/>
      <c r="O36" s="18"/>
    </row>
    <row r="37" spans="1:15" s="1" customFormat="1" ht="13.5" x14ac:dyDescent="0.25">
      <c r="A37" s="42">
        <v>100</v>
      </c>
      <c r="B37" s="42"/>
      <c r="C37" s="42"/>
      <c r="D37" s="50" t="s">
        <v>29</v>
      </c>
      <c r="E37" s="50"/>
      <c r="F37" s="49" t="s">
        <v>117</v>
      </c>
      <c r="G37" s="49"/>
      <c r="H37" s="49" t="s">
        <v>118</v>
      </c>
      <c r="I37" s="49"/>
      <c r="J37" s="49" t="s">
        <v>119</v>
      </c>
      <c r="K37" s="49"/>
      <c r="L37" s="49" t="s">
        <v>120</v>
      </c>
      <c r="M37" s="49"/>
      <c r="N37" s="18"/>
      <c r="O37" s="18"/>
    </row>
    <row r="38" spans="1:15" s="1" customFormat="1" ht="13.5" x14ac:dyDescent="0.25">
      <c r="A38" s="42">
        <v>200</v>
      </c>
      <c r="B38" s="42"/>
      <c r="C38" s="42"/>
      <c r="D38" s="50" t="s">
        <v>30</v>
      </c>
      <c r="E38" s="50"/>
      <c r="F38" s="49" t="s">
        <v>121</v>
      </c>
      <c r="G38" s="49"/>
      <c r="H38" s="49" t="s">
        <v>122</v>
      </c>
      <c r="I38" s="49"/>
      <c r="J38" s="49" t="s">
        <v>123</v>
      </c>
      <c r="K38" s="49"/>
      <c r="L38" s="49" t="s">
        <v>124</v>
      </c>
      <c r="M38" s="49"/>
      <c r="N38" s="18"/>
      <c r="O38" s="18"/>
    </row>
    <row r="39" spans="1:15" s="1" customFormat="1" ht="13.5" x14ac:dyDescent="0.25">
      <c r="A39" s="42">
        <v>500</v>
      </c>
      <c r="B39" s="42"/>
      <c r="C39" s="42"/>
      <c r="D39" s="50" t="s">
        <v>31</v>
      </c>
      <c r="E39" s="50"/>
      <c r="F39" s="49" t="s">
        <v>125</v>
      </c>
      <c r="G39" s="49"/>
      <c r="H39" s="49" t="s">
        <v>126</v>
      </c>
      <c r="I39" s="49"/>
      <c r="J39" s="49" t="s">
        <v>127</v>
      </c>
      <c r="K39" s="49"/>
      <c r="L39" s="49" t="s">
        <v>128</v>
      </c>
      <c r="M39" s="49"/>
      <c r="N39" s="18"/>
      <c r="O39" s="18"/>
    </row>
    <row r="40" spans="1:15" s="1" customFormat="1" ht="13.5" x14ac:dyDescent="0.25">
      <c r="A40" s="42" t="s">
        <v>68</v>
      </c>
      <c r="B40" s="42"/>
      <c r="C40" s="42"/>
      <c r="D40" s="50" t="s">
        <v>32</v>
      </c>
      <c r="E40" s="50"/>
      <c r="F40" s="49" t="s">
        <v>129</v>
      </c>
      <c r="G40" s="49"/>
      <c r="H40" s="49" t="s">
        <v>130</v>
      </c>
      <c r="I40" s="49"/>
      <c r="J40" s="49" t="s">
        <v>131</v>
      </c>
      <c r="K40" s="49"/>
      <c r="L40" s="49" t="s">
        <v>132</v>
      </c>
      <c r="M40" s="49"/>
      <c r="N40" s="18"/>
      <c r="O40" s="18"/>
    </row>
    <row r="41" spans="1:15" s="1" customFormat="1" ht="3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s="1" customFormat="1" x14ac:dyDescent="0.2">
      <c r="A42" s="18" t="s">
        <v>67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1:15" s="1" customFormat="1" ht="4.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s="1" customFormat="1" ht="12.75" customHeight="1" x14ac:dyDescent="0.2">
      <c r="A44" s="38" t="s">
        <v>0</v>
      </c>
      <c r="B44" s="38"/>
      <c r="C44" s="38" t="s">
        <v>71</v>
      </c>
      <c r="D44" s="38" t="s">
        <v>46</v>
      </c>
      <c r="E44" s="38"/>
      <c r="F44" s="38" t="s">
        <v>47</v>
      </c>
      <c r="G44" s="38"/>
      <c r="H44" s="38" t="s">
        <v>44</v>
      </c>
      <c r="I44" s="38" t="s">
        <v>48</v>
      </c>
      <c r="J44" s="38"/>
      <c r="K44" s="38" t="s">
        <v>49</v>
      </c>
      <c r="L44" s="38"/>
      <c r="M44" s="38" t="s">
        <v>45</v>
      </c>
      <c r="N44" s="38" t="s">
        <v>40</v>
      </c>
      <c r="O44" s="55" t="s">
        <v>16</v>
      </c>
    </row>
    <row r="45" spans="1:15" s="1" customFormat="1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</row>
    <row r="46" spans="1:15" s="1" customFormat="1" ht="46.5" customHeight="1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</row>
    <row r="47" spans="1:15" s="1" customFormat="1" ht="14.25" customHeight="1" x14ac:dyDescent="0.2">
      <c r="A47" s="44" t="s">
        <v>87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6"/>
    </row>
    <row r="48" spans="1:15" s="1" customFormat="1" ht="13.5" customHeight="1" x14ac:dyDescent="0.2">
      <c r="A48" s="42">
        <v>1</v>
      </c>
      <c r="B48" s="42"/>
      <c r="C48" s="11" t="s">
        <v>72</v>
      </c>
      <c r="D48" s="43" t="s">
        <v>133</v>
      </c>
      <c r="E48" s="43"/>
      <c r="F48" s="43" t="s">
        <v>134</v>
      </c>
      <c r="G48" s="43"/>
      <c r="H48" s="31" t="s">
        <v>135</v>
      </c>
      <c r="I48" s="43" t="s">
        <v>136</v>
      </c>
      <c r="J48" s="43"/>
      <c r="K48" s="43" t="s">
        <v>137</v>
      </c>
      <c r="L48" s="43"/>
      <c r="M48" s="31" t="s">
        <v>138</v>
      </c>
      <c r="N48" s="30" t="e">
        <f>IF(ABS(((I48-M48)/(D48-H48)-1)*100)&gt;ABS(((K48-M48)/(F48-H48)-1)*100),((I48-M48)/(D48-H48)-1)*100,((K48-M48)/(F48-H48)-1)*100)</f>
        <v>#VALUE!</v>
      </c>
      <c r="O48" s="42" t="s">
        <v>17</v>
      </c>
    </row>
    <row r="49" spans="1:15" s="1" customFormat="1" ht="13.5" customHeight="1" x14ac:dyDescent="0.2">
      <c r="A49" s="42">
        <v>2</v>
      </c>
      <c r="B49" s="42"/>
      <c r="C49" s="11" t="s">
        <v>72</v>
      </c>
      <c r="D49" s="43" t="s">
        <v>139</v>
      </c>
      <c r="E49" s="43"/>
      <c r="F49" s="43" t="s">
        <v>150</v>
      </c>
      <c r="G49" s="43"/>
      <c r="H49" s="31" t="s">
        <v>161</v>
      </c>
      <c r="I49" s="43" t="s">
        <v>172</v>
      </c>
      <c r="J49" s="43"/>
      <c r="K49" s="43" t="s">
        <v>183</v>
      </c>
      <c r="L49" s="43"/>
      <c r="M49" s="31" t="s">
        <v>194</v>
      </c>
      <c r="N49" s="30" t="e">
        <f t="shared" ref="N49:N59" si="0">IF(ABS(((I49-M49)/(D49-H49)-1)*100)&gt;ABS(((K49-M49)/(F49-H49)-1)*100),((I49-M49)/(D49-H49)-1)*100,((K49-M49)/(F49-H49)-1)*100)</f>
        <v>#VALUE!</v>
      </c>
      <c r="O49" s="42"/>
    </row>
    <row r="50" spans="1:15" s="1" customFormat="1" ht="13.5" customHeight="1" x14ac:dyDescent="0.2">
      <c r="A50" s="42">
        <v>5</v>
      </c>
      <c r="B50" s="42"/>
      <c r="C50" s="11" t="s">
        <v>72</v>
      </c>
      <c r="D50" s="43" t="s">
        <v>140</v>
      </c>
      <c r="E50" s="43"/>
      <c r="F50" s="43" t="s">
        <v>151</v>
      </c>
      <c r="G50" s="43"/>
      <c r="H50" s="31" t="s">
        <v>162</v>
      </c>
      <c r="I50" s="43" t="s">
        <v>173</v>
      </c>
      <c r="J50" s="43"/>
      <c r="K50" s="43" t="s">
        <v>184</v>
      </c>
      <c r="L50" s="43"/>
      <c r="M50" s="31" t="s">
        <v>195</v>
      </c>
      <c r="N50" s="30" t="e">
        <f t="shared" si="0"/>
        <v>#VALUE!</v>
      </c>
      <c r="O50" s="42"/>
    </row>
    <row r="51" spans="1:15" s="1" customFormat="1" ht="13.5" customHeight="1" x14ac:dyDescent="0.2">
      <c r="A51" s="42">
        <v>10</v>
      </c>
      <c r="B51" s="42"/>
      <c r="C51" s="11" t="s">
        <v>72</v>
      </c>
      <c r="D51" s="43" t="s">
        <v>141</v>
      </c>
      <c r="E51" s="43"/>
      <c r="F51" s="43" t="s">
        <v>152</v>
      </c>
      <c r="G51" s="43"/>
      <c r="H51" s="31" t="s">
        <v>163</v>
      </c>
      <c r="I51" s="43" t="s">
        <v>174</v>
      </c>
      <c r="J51" s="43"/>
      <c r="K51" s="43" t="s">
        <v>185</v>
      </c>
      <c r="L51" s="43"/>
      <c r="M51" s="31" t="s">
        <v>196</v>
      </c>
      <c r="N51" s="30" t="e">
        <f t="shared" si="0"/>
        <v>#VALUE!</v>
      </c>
      <c r="O51" s="42"/>
    </row>
    <row r="52" spans="1:15" s="1" customFormat="1" ht="13.5" customHeight="1" x14ac:dyDescent="0.2">
      <c r="A52" s="42">
        <v>20</v>
      </c>
      <c r="B52" s="42"/>
      <c r="C52" s="11" t="s">
        <v>72</v>
      </c>
      <c r="D52" s="43" t="s">
        <v>142</v>
      </c>
      <c r="E52" s="43"/>
      <c r="F52" s="43" t="s">
        <v>153</v>
      </c>
      <c r="G52" s="43"/>
      <c r="H52" s="31" t="s">
        <v>164</v>
      </c>
      <c r="I52" s="43" t="s">
        <v>175</v>
      </c>
      <c r="J52" s="43"/>
      <c r="K52" s="43" t="s">
        <v>186</v>
      </c>
      <c r="L52" s="43"/>
      <c r="M52" s="31" t="s">
        <v>197</v>
      </c>
      <c r="N52" s="30" t="e">
        <f t="shared" si="0"/>
        <v>#VALUE!</v>
      </c>
      <c r="O52" s="42"/>
    </row>
    <row r="53" spans="1:15" s="1" customFormat="1" ht="13.5" customHeight="1" x14ac:dyDescent="0.2">
      <c r="A53" s="42">
        <v>50</v>
      </c>
      <c r="B53" s="42"/>
      <c r="C53" s="11" t="s">
        <v>73</v>
      </c>
      <c r="D53" s="43" t="s">
        <v>143</v>
      </c>
      <c r="E53" s="43"/>
      <c r="F53" s="43" t="s">
        <v>154</v>
      </c>
      <c r="G53" s="43"/>
      <c r="H53" s="31" t="s">
        <v>165</v>
      </c>
      <c r="I53" s="43" t="s">
        <v>176</v>
      </c>
      <c r="J53" s="43"/>
      <c r="K53" s="43" t="s">
        <v>187</v>
      </c>
      <c r="L53" s="43"/>
      <c r="M53" s="31" t="s">
        <v>198</v>
      </c>
      <c r="N53" s="30" t="e">
        <f t="shared" si="0"/>
        <v>#VALUE!</v>
      </c>
      <c r="O53" s="42"/>
    </row>
    <row r="54" spans="1:15" s="1" customFormat="1" ht="13.5" customHeight="1" x14ac:dyDescent="0.2">
      <c r="A54" s="42">
        <v>100</v>
      </c>
      <c r="B54" s="42"/>
      <c r="C54" s="11" t="s">
        <v>74</v>
      </c>
      <c r="D54" s="43" t="s">
        <v>144</v>
      </c>
      <c r="E54" s="43"/>
      <c r="F54" s="43" t="s">
        <v>155</v>
      </c>
      <c r="G54" s="43"/>
      <c r="H54" s="31" t="s">
        <v>166</v>
      </c>
      <c r="I54" s="43" t="s">
        <v>177</v>
      </c>
      <c r="J54" s="43"/>
      <c r="K54" s="43" t="s">
        <v>188</v>
      </c>
      <c r="L54" s="43"/>
      <c r="M54" s="31" t="s">
        <v>199</v>
      </c>
      <c r="N54" s="30" t="e">
        <f t="shared" si="0"/>
        <v>#VALUE!</v>
      </c>
      <c r="O54" s="42"/>
    </row>
    <row r="55" spans="1:15" s="1" customFormat="1" ht="13.5" customHeight="1" x14ac:dyDescent="0.2">
      <c r="A55" s="42">
        <v>200</v>
      </c>
      <c r="B55" s="42"/>
      <c r="C55" s="11" t="s">
        <v>75</v>
      </c>
      <c r="D55" s="43" t="s">
        <v>145</v>
      </c>
      <c r="E55" s="43"/>
      <c r="F55" s="43" t="s">
        <v>156</v>
      </c>
      <c r="G55" s="43"/>
      <c r="H55" s="31" t="s">
        <v>167</v>
      </c>
      <c r="I55" s="43" t="s">
        <v>178</v>
      </c>
      <c r="J55" s="43"/>
      <c r="K55" s="43" t="s">
        <v>189</v>
      </c>
      <c r="L55" s="43"/>
      <c r="M55" s="31" t="s">
        <v>200</v>
      </c>
      <c r="N55" s="30" t="e">
        <f t="shared" si="0"/>
        <v>#VALUE!</v>
      </c>
      <c r="O55" s="42"/>
    </row>
    <row r="56" spans="1:15" s="1" customFormat="1" ht="13.5" customHeight="1" x14ac:dyDescent="0.2">
      <c r="A56" s="42">
        <v>500</v>
      </c>
      <c r="B56" s="42"/>
      <c r="C56" s="11" t="s">
        <v>76</v>
      </c>
      <c r="D56" s="43" t="s">
        <v>146</v>
      </c>
      <c r="E56" s="43"/>
      <c r="F56" s="43" t="s">
        <v>157</v>
      </c>
      <c r="G56" s="43"/>
      <c r="H56" s="31" t="s">
        <v>168</v>
      </c>
      <c r="I56" s="43" t="s">
        <v>179</v>
      </c>
      <c r="J56" s="43"/>
      <c r="K56" s="43" t="s">
        <v>190</v>
      </c>
      <c r="L56" s="43"/>
      <c r="M56" s="31" t="s">
        <v>201</v>
      </c>
      <c r="N56" s="30" t="e">
        <f t="shared" si="0"/>
        <v>#VALUE!</v>
      </c>
      <c r="O56" s="42"/>
    </row>
    <row r="57" spans="1:15" s="1" customFormat="1" ht="13.5" customHeight="1" x14ac:dyDescent="0.2">
      <c r="A57" s="42" t="s">
        <v>68</v>
      </c>
      <c r="B57" s="42"/>
      <c r="C57" s="11" t="s">
        <v>76</v>
      </c>
      <c r="D57" s="43" t="s">
        <v>147</v>
      </c>
      <c r="E57" s="43"/>
      <c r="F57" s="43" t="s">
        <v>158</v>
      </c>
      <c r="G57" s="43"/>
      <c r="H57" s="31" t="s">
        <v>169</v>
      </c>
      <c r="I57" s="43" t="s">
        <v>180</v>
      </c>
      <c r="J57" s="43"/>
      <c r="K57" s="43" t="s">
        <v>191</v>
      </c>
      <c r="L57" s="43"/>
      <c r="M57" s="31" t="s">
        <v>202</v>
      </c>
      <c r="N57" s="30" t="e">
        <f t="shared" si="0"/>
        <v>#VALUE!</v>
      </c>
      <c r="O57" s="42"/>
    </row>
    <row r="58" spans="1:15" s="1" customFormat="1" ht="13.5" customHeight="1" x14ac:dyDescent="0.2">
      <c r="A58" s="42" t="s">
        <v>69</v>
      </c>
      <c r="B58" s="42"/>
      <c r="C58" s="9" t="s">
        <v>76</v>
      </c>
      <c r="D58" s="43" t="s">
        <v>148</v>
      </c>
      <c r="E58" s="43"/>
      <c r="F58" s="43" t="s">
        <v>159</v>
      </c>
      <c r="G58" s="43"/>
      <c r="H58" s="31" t="s">
        <v>170</v>
      </c>
      <c r="I58" s="43" t="s">
        <v>181</v>
      </c>
      <c r="J58" s="43"/>
      <c r="K58" s="43" t="s">
        <v>192</v>
      </c>
      <c r="L58" s="43"/>
      <c r="M58" s="31" t="s">
        <v>203</v>
      </c>
      <c r="N58" s="30" t="e">
        <f t="shared" si="0"/>
        <v>#VALUE!</v>
      </c>
      <c r="O58" s="42"/>
    </row>
    <row r="59" spans="1:15" s="1" customFormat="1" ht="13.5" customHeight="1" x14ac:dyDescent="0.2">
      <c r="A59" s="42" t="s">
        <v>70</v>
      </c>
      <c r="B59" s="42"/>
      <c r="C59" s="9" t="s">
        <v>76</v>
      </c>
      <c r="D59" s="43" t="s">
        <v>149</v>
      </c>
      <c r="E59" s="43"/>
      <c r="F59" s="43" t="s">
        <v>160</v>
      </c>
      <c r="G59" s="43"/>
      <c r="H59" s="31" t="s">
        <v>171</v>
      </c>
      <c r="I59" s="43" t="s">
        <v>182</v>
      </c>
      <c r="J59" s="43"/>
      <c r="K59" s="43" t="s">
        <v>193</v>
      </c>
      <c r="L59" s="43"/>
      <c r="M59" s="31" t="s">
        <v>204</v>
      </c>
      <c r="N59" s="30" t="e">
        <f t="shared" si="0"/>
        <v>#VALUE!</v>
      </c>
      <c r="O59" s="42"/>
    </row>
    <row r="60" spans="1:15" s="1" customFormat="1" ht="14.25" customHeight="1" x14ac:dyDescent="0.2">
      <c r="A60" s="44" t="s">
        <v>88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6"/>
    </row>
    <row r="61" spans="1:15" s="1" customFormat="1" ht="13.5" customHeight="1" x14ac:dyDescent="0.2">
      <c r="A61" s="42">
        <v>1</v>
      </c>
      <c r="B61" s="42"/>
      <c r="C61" s="11" t="s">
        <v>72</v>
      </c>
      <c r="D61" s="43" t="s">
        <v>205</v>
      </c>
      <c r="E61" s="43"/>
      <c r="F61" s="43" t="s">
        <v>206</v>
      </c>
      <c r="G61" s="43"/>
      <c r="H61" s="31" t="s">
        <v>207</v>
      </c>
      <c r="I61" s="43" t="s">
        <v>208</v>
      </c>
      <c r="J61" s="43"/>
      <c r="K61" s="43" t="s">
        <v>209</v>
      </c>
      <c r="L61" s="43"/>
      <c r="M61" s="31" t="s">
        <v>210</v>
      </c>
      <c r="N61" s="30" t="e">
        <f>IF(ABS(((I61-M61)/(D61-H61)-1)*100)&gt;ABS(((K61-M61)/(F61-H61)-1)*100),((I61-M61)/(D61-H61)-1)*100,((K61-M61)/(F61-H61)-1)*100)</f>
        <v>#VALUE!</v>
      </c>
      <c r="O61" s="42" t="s">
        <v>17</v>
      </c>
    </row>
    <row r="62" spans="1:15" s="1" customFormat="1" ht="13.5" customHeight="1" x14ac:dyDescent="0.2">
      <c r="A62" s="42">
        <v>2</v>
      </c>
      <c r="B62" s="42"/>
      <c r="C62" s="11" t="s">
        <v>72</v>
      </c>
      <c r="D62" s="43" t="s">
        <v>211</v>
      </c>
      <c r="E62" s="43"/>
      <c r="F62" s="43" t="s">
        <v>222</v>
      </c>
      <c r="G62" s="43"/>
      <c r="H62" s="31" t="s">
        <v>233</v>
      </c>
      <c r="I62" s="43" t="s">
        <v>244</v>
      </c>
      <c r="J62" s="43"/>
      <c r="K62" s="43" t="s">
        <v>255</v>
      </c>
      <c r="L62" s="43"/>
      <c r="M62" s="31" t="s">
        <v>266</v>
      </c>
      <c r="N62" s="30" t="e">
        <f t="shared" ref="N62:N72" si="1">IF(ABS(((I62-M62)/(D62-H62)-1)*100)&gt;ABS(((K62-M62)/(F62-H62)-1)*100),((I62-M62)/(D62-H62)-1)*100,((K62-M62)/(F62-H62)-1)*100)</f>
        <v>#VALUE!</v>
      </c>
      <c r="O62" s="42"/>
    </row>
    <row r="63" spans="1:15" s="1" customFormat="1" ht="13.5" customHeight="1" x14ac:dyDescent="0.2">
      <c r="A63" s="42">
        <v>5</v>
      </c>
      <c r="B63" s="42"/>
      <c r="C63" s="11" t="s">
        <v>72</v>
      </c>
      <c r="D63" s="43" t="s">
        <v>212</v>
      </c>
      <c r="E63" s="43"/>
      <c r="F63" s="43" t="s">
        <v>223</v>
      </c>
      <c r="G63" s="43"/>
      <c r="H63" s="31" t="s">
        <v>234</v>
      </c>
      <c r="I63" s="43" t="s">
        <v>245</v>
      </c>
      <c r="J63" s="43"/>
      <c r="K63" s="43" t="s">
        <v>256</v>
      </c>
      <c r="L63" s="43"/>
      <c r="M63" s="31" t="s">
        <v>267</v>
      </c>
      <c r="N63" s="30" t="e">
        <f t="shared" si="1"/>
        <v>#VALUE!</v>
      </c>
      <c r="O63" s="42"/>
    </row>
    <row r="64" spans="1:15" s="1" customFormat="1" ht="13.5" customHeight="1" x14ac:dyDescent="0.2">
      <c r="A64" s="42">
        <v>10</v>
      </c>
      <c r="B64" s="42"/>
      <c r="C64" s="11" t="s">
        <v>72</v>
      </c>
      <c r="D64" s="43" t="s">
        <v>213</v>
      </c>
      <c r="E64" s="43"/>
      <c r="F64" s="43" t="s">
        <v>224</v>
      </c>
      <c r="G64" s="43"/>
      <c r="H64" s="31" t="s">
        <v>235</v>
      </c>
      <c r="I64" s="43" t="s">
        <v>246</v>
      </c>
      <c r="J64" s="43"/>
      <c r="K64" s="43" t="s">
        <v>257</v>
      </c>
      <c r="L64" s="43"/>
      <c r="M64" s="31" t="s">
        <v>268</v>
      </c>
      <c r="N64" s="30" t="e">
        <f t="shared" si="1"/>
        <v>#VALUE!</v>
      </c>
      <c r="O64" s="42"/>
    </row>
    <row r="65" spans="1:15" s="1" customFormat="1" ht="13.5" customHeight="1" x14ac:dyDescent="0.2">
      <c r="A65" s="42">
        <v>20</v>
      </c>
      <c r="B65" s="42"/>
      <c r="C65" s="11" t="s">
        <v>72</v>
      </c>
      <c r="D65" s="43" t="s">
        <v>214</v>
      </c>
      <c r="E65" s="43"/>
      <c r="F65" s="43" t="s">
        <v>225</v>
      </c>
      <c r="G65" s="43"/>
      <c r="H65" s="31" t="s">
        <v>236</v>
      </c>
      <c r="I65" s="43" t="s">
        <v>247</v>
      </c>
      <c r="J65" s="43"/>
      <c r="K65" s="43" t="s">
        <v>258</v>
      </c>
      <c r="L65" s="43"/>
      <c r="M65" s="31" t="s">
        <v>269</v>
      </c>
      <c r="N65" s="30" t="e">
        <f t="shared" si="1"/>
        <v>#VALUE!</v>
      </c>
      <c r="O65" s="42"/>
    </row>
    <row r="66" spans="1:15" s="1" customFormat="1" ht="13.5" customHeight="1" x14ac:dyDescent="0.2">
      <c r="A66" s="42">
        <v>50</v>
      </c>
      <c r="B66" s="42"/>
      <c r="C66" s="11" t="s">
        <v>73</v>
      </c>
      <c r="D66" s="43" t="s">
        <v>215</v>
      </c>
      <c r="E66" s="43"/>
      <c r="F66" s="43" t="s">
        <v>226</v>
      </c>
      <c r="G66" s="43"/>
      <c r="H66" s="31" t="s">
        <v>237</v>
      </c>
      <c r="I66" s="43" t="s">
        <v>248</v>
      </c>
      <c r="J66" s="43"/>
      <c r="K66" s="43" t="s">
        <v>259</v>
      </c>
      <c r="L66" s="43"/>
      <c r="M66" s="31" t="s">
        <v>270</v>
      </c>
      <c r="N66" s="30" t="e">
        <f t="shared" si="1"/>
        <v>#VALUE!</v>
      </c>
      <c r="O66" s="42"/>
    </row>
    <row r="67" spans="1:15" s="1" customFormat="1" ht="13.5" customHeight="1" x14ac:dyDescent="0.2">
      <c r="A67" s="42">
        <v>100</v>
      </c>
      <c r="B67" s="42"/>
      <c r="C67" s="11" t="s">
        <v>74</v>
      </c>
      <c r="D67" s="43" t="s">
        <v>216</v>
      </c>
      <c r="E67" s="43"/>
      <c r="F67" s="43" t="s">
        <v>227</v>
      </c>
      <c r="G67" s="43"/>
      <c r="H67" s="31" t="s">
        <v>238</v>
      </c>
      <c r="I67" s="43" t="s">
        <v>249</v>
      </c>
      <c r="J67" s="43"/>
      <c r="K67" s="43" t="s">
        <v>260</v>
      </c>
      <c r="L67" s="43"/>
      <c r="M67" s="31" t="s">
        <v>271</v>
      </c>
      <c r="N67" s="30" t="e">
        <f t="shared" si="1"/>
        <v>#VALUE!</v>
      </c>
      <c r="O67" s="42"/>
    </row>
    <row r="68" spans="1:15" s="1" customFormat="1" ht="13.5" customHeight="1" x14ac:dyDescent="0.2">
      <c r="A68" s="42">
        <v>200</v>
      </c>
      <c r="B68" s="42"/>
      <c r="C68" s="11" t="s">
        <v>75</v>
      </c>
      <c r="D68" s="43" t="s">
        <v>217</v>
      </c>
      <c r="E68" s="43"/>
      <c r="F68" s="43" t="s">
        <v>228</v>
      </c>
      <c r="G68" s="43"/>
      <c r="H68" s="31" t="s">
        <v>239</v>
      </c>
      <c r="I68" s="43" t="s">
        <v>250</v>
      </c>
      <c r="J68" s="43"/>
      <c r="K68" s="43" t="s">
        <v>261</v>
      </c>
      <c r="L68" s="43"/>
      <c r="M68" s="31" t="s">
        <v>272</v>
      </c>
      <c r="N68" s="30" t="e">
        <f t="shared" si="1"/>
        <v>#VALUE!</v>
      </c>
      <c r="O68" s="42"/>
    </row>
    <row r="69" spans="1:15" s="1" customFormat="1" ht="13.5" customHeight="1" x14ac:dyDescent="0.2">
      <c r="A69" s="42">
        <v>500</v>
      </c>
      <c r="B69" s="42"/>
      <c r="C69" s="11" t="s">
        <v>76</v>
      </c>
      <c r="D69" s="43" t="s">
        <v>218</v>
      </c>
      <c r="E69" s="43"/>
      <c r="F69" s="43" t="s">
        <v>229</v>
      </c>
      <c r="G69" s="43"/>
      <c r="H69" s="31" t="s">
        <v>240</v>
      </c>
      <c r="I69" s="43" t="s">
        <v>251</v>
      </c>
      <c r="J69" s="43"/>
      <c r="K69" s="43" t="s">
        <v>262</v>
      </c>
      <c r="L69" s="43"/>
      <c r="M69" s="31" t="s">
        <v>273</v>
      </c>
      <c r="N69" s="30" t="e">
        <f t="shared" si="1"/>
        <v>#VALUE!</v>
      </c>
      <c r="O69" s="42"/>
    </row>
    <row r="70" spans="1:15" s="1" customFormat="1" ht="13.5" customHeight="1" x14ac:dyDescent="0.2">
      <c r="A70" s="42" t="s">
        <v>68</v>
      </c>
      <c r="B70" s="42"/>
      <c r="C70" s="11" t="s">
        <v>76</v>
      </c>
      <c r="D70" s="43" t="s">
        <v>219</v>
      </c>
      <c r="E70" s="43"/>
      <c r="F70" s="43" t="s">
        <v>230</v>
      </c>
      <c r="G70" s="43"/>
      <c r="H70" s="31" t="s">
        <v>241</v>
      </c>
      <c r="I70" s="43" t="s">
        <v>252</v>
      </c>
      <c r="J70" s="43"/>
      <c r="K70" s="43" t="s">
        <v>263</v>
      </c>
      <c r="L70" s="43"/>
      <c r="M70" s="31" t="s">
        <v>274</v>
      </c>
      <c r="N70" s="30" t="e">
        <f t="shared" si="1"/>
        <v>#VALUE!</v>
      </c>
      <c r="O70" s="42"/>
    </row>
    <row r="71" spans="1:15" s="1" customFormat="1" ht="13.5" customHeight="1" x14ac:dyDescent="0.2">
      <c r="A71" s="42" t="s">
        <v>69</v>
      </c>
      <c r="B71" s="42"/>
      <c r="C71" s="9" t="s">
        <v>76</v>
      </c>
      <c r="D71" s="43" t="s">
        <v>220</v>
      </c>
      <c r="E71" s="43"/>
      <c r="F71" s="43" t="s">
        <v>231</v>
      </c>
      <c r="G71" s="43"/>
      <c r="H71" s="31" t="s">
        <v>242</v>
      </c>
      <c r="I71" s="43" t="s">
        <v>253</v>
      </c>
      <c r="J71" s="43"/>
      <c r="K71" s="43" t="s">
        <v>264</v>
      </c>
      <c r="L71" s="43"/>
      <c r="M71" s="31" t="s">
        <v>275</v>
      </c>
      <c r="N71" s="30" t="e">
        <f t="shared" si="1"/>
        <v>#VALUE!</v>
      </c>
      <c r="O71" s="42"/>
    </row>
    <row r="72" spans="1:15" s="1" customFormat="1" ht="13.5" customHeight="1" x14ac:dyDescent="0.2">
      <c r="A72" s="42" t="s">
        <v>70</v>
      </c>
      <c r="B72" s="42"/>
      <c r="C72" s="9" t="s">
        <v>76</v>
      </c>
      <c r="D72" s="43" t="s">
        <v>221</v>
      </c>
      <c r="E72" s="43"/>
      <c r="F72" s="43" t="s">
        <v>232</v>
      </c>
      <c r="G72" s="43"/>
      <c r="H72" s="31" t="s">
        <v>243</v>
      </c>
      <c r="I72" s="43" t="s">
        <v>254</v>
      </c>
      <c r="J72" s="43"/>
      <c r="K72" s="43" t="s">
        <v>265</v>
      </c>
      <c r="L72" s="43"/>
      <c r="M72" s="31" t="s">
        <v>276</v>
      </c>
      <c r="N72" s="30" t="e">
        <f t="shared" si="1"/>
        <v>#VALUE!</v>
      </c>
      <c r="O72" s="42"/>
    </row>
    <row r="73" spans="1:15" s="1" customFormat="1" ht="14.25" customHeight="1" x14ac:dyDescent="0.2">
      <c r="A73" s="44" t="s">
        <v>89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6"/>
    </row>
    <row r="74" spans="1:15" s="1" customFormat="1" ht="13.5" customHeight="1" x14ac:dyDescent="0.2">
      <c r="A74" s="42">
        <v>1</v>
      </c>
      <c r="B74" s="42"/>
      <c r="C74" s="11" t="s">
        <v>72</v>
      </c>
      <c r="D74" s="43" t="s">
        <v>277</v>
      </c>
      <c r="E74" s="43"/>
      <c r="F74" s="43" t="s">
        <v>278</v>
      </c>
      <c r="G74" s="43"/>
      <c r="H74" s="31" t="s">
        <v>279</v>
      </c>
      <c r="I74" s="43" t="s">
        <v>280</v>
      </c>
      <c r="J74" s="43"/>
      <c r="K74" s="43" t="s">
        <v>281</v>
      </c>
      <c r="L74" s="43"/>
      <c r="M74" s="31" t="s">
        <v>282</v>
      </c>
      <c r="N74" s="30" t="e">
        <f>IF(ABS(((I74-M74)/(D74-H74)-1)*100)&gt;ABS(((K74-M74)/(F74-H74)-1)*100),((I74-M74)/(D74-H74)-1)*100,((K74-M74)/(F74-H74)-1)*100)</f>
        <v>#VALUE!</v>
      </c>
      <c r="O74" s="39" t="s">
        <v>17</v>
      </c>
    </row>
    <row r="75" spans="1:15" s="1" customFormat="1" ht="13.5" customHeight="1" x14ac:dyDescent="0.2">
      <c r="A75" s="42">
        <v>2</v>
      </c>
      <c r="B75" s="42"/>
      <c r="C75" s="11" t="s">
        <v>72</v>
      </c>
      <c r="D75" s="43" t="s">
        <v>283</v>
      </c>
      <c r="E75" s="43"/>
      <c r="F75" s="43" t="s">
        <v>286</v>
      </c>
      <c r="G75" s="43"/>
      <c r="H75" s="31" t="s">
        <v>289</v>
      </c>
      <c r="I75" s="43" t="s">
        <v>292</v>
      </c>
      <c r="J75" s="43"/>
      <c r="K75" s="43" t="s">
        <v>295</v>
      </c>
      <c r="L75" s="43"/>
      <c r="M75" s="31" t="s">
        <v>298</v>
      </c>
      <c r="N75" s="30" t="e">
        <f t="shared" ref="N75:N88" si="2">IF(ABS(((I75-M75)/(D75-H75)-1)*100)&gt;ABS(((K75-M75)/(F75-H75)-1)*100),((I75-M75)/(D75-H75)-1)*100,((K75-M75)/(F75-H75)-1)*100)</f>
        <v>#VALUE!</v>
      </c>
      <c r="O75" s="40"/>
    </row>
    <row r="76" spans="1:15" s="1" customFormat="1" ht="13.5" customHeight="1" x14ac:dyDescent="0.2">
      <c r="A76" s="42">
        <v>5</v>
      </c>
      <c r="B76" s="42"/>
      <c r="C76" s="11" t="s">
        <v>72</v>
      </c>
      <c r="D76" s="43" t="s">
        <v>284</v>
      </c>
      <c r="E76" s="43"/>
      <c r="F76" s="43" t="s">
        <v>287</v>
      </c>
      <c r="G76" s="43"/>
      <c r="H76" s="31" t="s">
        <v>290</v>
      </c>
      <c r="I76" s="43" t="s">
        <v>293</v>
      </c>
      <c r="J76" s="43"/>
      <c r="K76" s="43" t="s">
        <v>296</v>
      </c>
      <c r="L76" s="43"/>
      <c r="M76" s="31" t="s">
        <v>299</v>
      </c>
      <c r="N76" s="30" t="e">
        <f t="shared" si="2"/>
        <v>#VALUE!</v>
      </c>
      <c r="O76" s="40"/>
    </row>
    <row r="77" spans="1:15" s="1" customFormat="1" ht="13.5" customHeight="1" x14ac:dyDescent="0.2">
      <c r="A77" s="42">
        <v>10</v>
      </c>
      <c r="B77" s="42"/>
      <c r="C77" s="11" t="s">
        <v>72</v>
      </c>
      <c r="D77" s="43" t="s">
        <v>285</v>
      </c>
      <c r="E77" s="43"/>
      <c r="F77" s="43" t="s">
        <v>288</v>
      </c>
      <c r="G77" s="43"/>
      <c r="H77" s="31" t="s">
        <v>291</v>
      </c>
      <c r="I77" s="43" t="s">
        <v>294</v>
      </c>
      <c r="J77" s="43"/>
      <c r="K77" s="43" t="s">
        <v>297</v>
      </c>
      <c r="L77" s="43"/>
      <c r="M77" s="31" t="s">
        <v>300</v>
      </c>
      <c r="N77" s="30" t="e">
        <f t="shared" si="2"/>
        <v>#VALUE!</v>
      </c>
      <c r="O77" s="41"/>
    </row>
    <row r="78" spans="1:15" s="1" customFormat="1" ht="12.75" customHeight="1" x14ac:dyDescent="0.2">
      <c r="A78" s="38" t="s">
        <v>0</v>
      </c>
      <c r="B78" s="38"/>
      <c r="C78" s="38" t="s">
        <v>71</v>
      </c>
      <c r="D78" s="38" t="s">
        <v>46</v>
      </c>
      <c r="E78" s="38"/>
      <c r="F78" s="38" t="s">
        <v>47</v>
      </c>
      <c r="G78" s="38"/>
      <c r="H78" s="38" t="s">
        <v>44</v>
      </c>
      <c r="I78" s="38" t="s">
        <v>48</v>
      </c>
      <c r="J78" s="38"/>
      <c r="K78" s="38" t="s">
        <v>49</v>
      </c>
      <c r="L78" s="38"/>
      <c r="M78" s="38" t="s">
        <v>45</v>
      </c>
      <c r="N78" s="38" t="s">
        <v>40</v>
      </c>
      <c r="O78" s="55" t="s">
        <v>16</v>
      </c>
    </row>
    <row r="79" spans="1:15" s="1" customFormat="1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 spans="1:15" s="1" customFormat="1" ht="46.5" customHeight="1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 spans="1:15" s="1" customFormat="1" ht="13.5" customHeight="1" x14ac:dyDescent="0.2">
      <c r="A81" s="42">
        <v>20</v>
      </c>
      <c r="B81" s="42"/>
      <c r="C81" s="11" t="s">
        <v>72</v>
      </c>
      <c r="D81" s="43" t="s">
        <v>309</v>
      </c>
      <c r="E81" s="43"/>
      <c r="F81" s="43" t="s">
        <v>317</v>
      </c>
      <c r="G81" s="43"/>
      <c r="H81" s="31" t="s">
        <v>325</v>
      </c>
      <c r="I81" s="43" t="s">
        <v>333</v>
      </c>
      <c r="J81" s="43"/>
      <c r="K81" s="43" t="s">
        <v>341</v>
      </c>
      <c r="L81" s="43"/>
      <c r="M81" s="31" t="s">
        <v>349</v>
      </c>
      <c r="N81" s="30" t="e">
        <f t="shared" si="2"/>
        <v>#VALUE!</v>
      </c>
      <c r="O81" s="39" t="s">
        <v>17</v>
      </c>
    </row>
    <row r="82" spans="1:15" s="1" customFormat="1" ht="13.5" customHeight="1" x14ac:dyDescent="0.2">
      <c r="A82" s="42">
        <v>50</v>
      </c>
      <c r="B82" s="42"/>
      <c r="C82" s="11" t="s">
        <v>73</v>
      </c>
      <c r="D82" s="43" t="s">
        <v>310</v>
      </c>
      <c r="E82" s="43"/>
      <c r="F82" s="43" t="s">
        <v>318</v>
      </c>
      <c r="G82" s="43"/>
      <c r="H82" s="31" t="s">
        <v>326</v>
      </c>
      <c r="I82" s="43" t="s">
        <v>334</v>
      </c>
      <c r="J82" s="43"/>
      <c r="K82" s="43" t="s">
        <v>342</v>
      </c>
      <c r="L82" s="43"/>
      <c r="M82" s="31" t="s">
        <v>350</v>
      </c>
      <c r="N82" s="30" t="e">
        <f t="shared" si="2"/>
        <v>#VALUE!</v>
      </c>
      <c r="O82" s="40"/>
    </row>
    <row r="83" spans="1:15" s="1" customFormat="1" ht="13.5" customHeight="1" x14ac:dyDescent="0.2">
      <c r="A83" s="42">
        <v>100</v>
      </c>
      <c r="B83" s="42"/>
      <c r="C83" s="11" t="s">
        <v>74</v>
      </c>
      <c r="D83" s="43" t="s">
        <v>311</v>
      </c>
      <c r="E83" s="43"/>
      <c r="F83" s="43" t="s">
        <v>319</v>
      </c>
      <c r="G83" s="43"/>
      <c r="H83" s="31" t="s">
        <v>327</v>
      </c>
      <c r="I83" s="43" t="s">
        <v>335</v>
      </c>
      <c r="J83" s="43"/>
      <c r="K83" s="43" t="s">
        <v>343</v>
      </c>
      <c r="L83" s="43"/>
      <c r="M83" s="31" t="s">
        <v>351</v>
      </c>
      <c r="N83" s="30" t="e">
        <f t="shared" si="2"/>
        <v>#VALUE!</v>
      </c>
      <c r="O83" s="40"/>
    </row>
    <row r="84" spans="1:15" s="1" customFormat="1" ht="13.5" customHeight="1" x14ac:dyDescent="0.2">
      <c r="A84" s="42">
        <v>200</v>
      </c>
      <c r="B84" s="42"/>
      <c r="C84" s="11" t="s">
        <v>75</v>
      </c>
      <c r="D84" s="43" t="s">
        <v>312</v>
      </c>
      <c r="E84" s="43"/>
      <c r="F84" s="43" t="s">
        <v>320</v>
      </c>
      <c r="G84" s="43"/>
      <c r="H84" s="31" t="s">
        <v>328</v>
      </c>
      <c r="I84" s="43" t="s">
        <v>336</v>
      </c>
      <c r="J84" s="43"/>
      <c r="K84" s="43" t="s">
        <v>344</v>
      </c>
      <c r="L84" s="43"/>
      <c r="M84" s="31" t="s">
        <v>352</v>
      </c>
      <c r="N84" s="30" t="e">
        <f t="shared" si="2"/>
        <v>#VALUE!</v>
      </c>
      <c r="O84" s="40"/>
    </row>
    <row r="85" spans="1:15" s="1" customFormat="1" ht="13.5" customHeight="1" x14ac:dyDescent="0.2">
      <c r="A85" s="42">
        <v>500</v>
      </c>
      <c r="B85" s="42"/>
      <c r="C85" s="11" t="s">
        <v>76</v>
      </c>
      <c r="D85" s="43" t="s">
        <v>313</v>
      </c>
      <c r="E85" s="43"/>
      <c r="F85" s="43" t="s">
        <v>321</v>
      </c>
      <c r="G85" s="43"/>
      <c r="H85" s="31" t="s">
        <v>329</v>
      </c>
      <c r="I85" s="43" t="s">
        <v>337</v>
      </c>
      <c r="J85" s="43"/>
      <c r="K85" s="43" t="s">
        <v>345</v>
      </c>
      <c r="L85" s="43"/>
      <c r="M85" s="31" t="s">
        <v>353</v>
      </c>
      <c r="N85" s="30" t="e">
        <f t="shared" si="2"/>
        <v>#VALUE!</v>
      </c>
      <c r="O85" s="40"/>
    </row>
    <row r="86" spans="1:15" s="1" customFormat="1" ht="13.5" customHeight="1" x14ac:dyDescent="0.2">
      <c r="A86" s="42" t="s">
        <v>68</v>
      </c>
      <c r="B86" s="42"/>
      <c r="C86" s="11" t="s">
        <v>76</v>
      </c>
      <c r="D86" s="43" t="s">
        <v>314</v>
      </c>
      <c r="E86" s="43"/>
      <c r="F86" s="43" t="s">
        <v>322</v>
      </c>
      <c r="G86" s="43"/>
      <c r="H86" s="31" t="s">
        <v>330</v>
      </c>
      <c r="I86" s="43" t="s">
        <v>338</v>
      </c>
      <c r="J86" s="43"/>
      <c r="K86" s="43" t="s">
        <v>346</v>
      </c>
      <c r="L86" s="43"/>
      <c r="M86" s="31" t="s">
        <v>354</v>
      </c>
      <c r="N86" s="30" t="e">
        <f t="shared" si="2"/>
        <v>#VALUE!</v>
      </c>
      <c r="O86" s="40"/>
    </row>
    <row r="87" spans="1:15" s="1" customFormat="1" ht="13.5" customHeight="1" x14ac:dyDescent="0.2">
      <c r="A87" s="42" t="s">
        <v>69</v>
      </c>
      <c r="B87" s="42"/>
      <c r="C87" s="9" t="s">
        <v>76</v>
      </c>
      <c r="D87" s="43" t="s">
        <v>315</v>
      </c>
      <c r="E87" s="43"/>
      <c r="F87" s="43" t="s">
        <v>323</v>
      </c>
      <c r="G87" s="43"/>
      <c r="H87" s="31" t="s">
        <v>331</v>
      </c>
      <c r="I87" s="43" t="s">
        <v>339</v>
      </c>
      <c r="J87" s="43"/>
      <c r="K87" s="43" t="s">
        <v>347</v>
      </c>
      <c r="L87" s="43"/>
      <c r="M87" s="31" t="s">
        <v>355</v>
      </c>
      <c r="N87" s="30" t="e">
        <f t="shared" si="2"/>
        <v>#VALUE!</v>
      </c>
      <c r="O87" s="40"/>
    </row>
    <row r="88" spans="1:15" s="1" customFormat="1" ht="13.5" customHeight="1" x14ac:dyDescent="0.2">
      <c r="A88" s="42" t="s">
        <v>70</v>
      </c>
      <c r="B88" s="42"/>
      <c r="C88" s="9" t="s">
        <v>76</v>
      </c>
      <c r="D88" s="43" t="s">
        <v>316</v>
      </c>
      <c r="E88" s="43"/>
      <c r="F88" s="43" t="s">
        <v>324</v>
      </c>
      <c r="G88" s="43"/>
      <c r="H88" s="31" t="s">
        <v>332</v>
      </c>
      <c r="I88" s="43" t="s">
        <v>340</v>
      </c>
      <c r="J88" s="43"/>
      <c r="K88" s="43" t="s">
        <v>348</v>
      </c>
      <c r="L88" s="43"/>
      <c r="M88" s="31" t="s">
        <v>356</v>
      </c>
      <c r="N88" s="30" t="e">
        <f t="shared" si="2"/>
        <v>#VALUE!</v>
      </c>
      <c r="O88" s="41"/>
    </row>
    <row r="89" spans="1:15" s="1" customFormat="1" ht="14.25" customHeight="1" x14ac:dyDescent="0.2">
      <c r="A89" s="44" t="s">
        <v>90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6"/>
    </row>
    <row r="90" spans="1:15" s="1" customFormat="1" ht="13.5" customHeight="1" x14ac:dyDescent="0.2">
      <c r="A90" s="42">
        <v>1</v>
      </c>
      <c r="B90" s="42"/>
      <c r="C90" s="11" t="s">
        <v>72</v>
      </c>
      <c r="D90" s="43" t="s">
        <v>301</v>
      </c>
      <c r="E90" s="43"/>
      <c r="F90" s="43" t="s">
        <v>357</v>
      </c>
      <c r="G90" s="43"/>
      <c r="H90" s="31" t="s">
        <v>358</v>
      </c>
      <c r="I90" s="43" t="s">
        <v>359</v>
      </c>
      <c r="J90" s="43"/>
      <c r="K90" s="43" t="s">
        <v>360</v>
      </c>
      <c r="L90" s="43"/>
      <c r="M90" s="31" t="s">
        <v>361</v>
      </c>
      <c r="N90" s="30" t="e">
        <f>IF(ABS(((I90-M90)/(D90-H90)-1)*100)&gt;ABS(((K90-M90)/(F90-H90)-1)*100),((I90-M90)/(D90-H90)-1)*100,((K90-M90)/(F90-H90)-1)*100)</f>
        <v>#VALUE!</v>
      </c>
      <c r="O90" s="42" t="s">
        <v>17</v>
      </c>
    </row>
    <row r="91" spans="1:15" s="1" customFormat="1" ht="13.5" customHeight="1" x14ac:dyDescent="0.2">
      <c r="A91" s="42">
        <v>2</v>
      </c>
      <c r="B91" s="42"/>
      <c r="C91" s="11" t="s">
        <v>72</v>
      </c>
      <c r="D91" s="43" t="s">
        <v>302</v>
      </c>
      <c r="E91" s="43"/>
      <c r="F91" s="43" t="s">
        <v>366</v>
      </c>
      <c r="G91" s="43"/>
      <c r="H91" s="31" t="s">
        <v>377</v>
      </c>
      <c r="I91" s="43" t="s">
        <v>388</v>
      </c>
      <c r="J91" s="43"/>
      <c r="K91" s="43" t="s">
        <v>399</v>
      </c>
      <c r="L91" s="43"/>
      <c r="M91" s="31" t="s">
        <v>410</v>
      </c>
      <c r="N91" s="30" t="e">
        <f t="shared" ref="N91:N101" si="3">IF(ABS(((I91-M91)/(D91-H91)-1)*100)&gt;ABS(((K91-M91)/(F91-H91)-1)*100),((I91-M91)/(D91-H91)-1)*100,((K91-M91)/(F91-H91)-1)*100)</f>
        <v>#VALUE!</v>
      </c>
      <c r="O91" s="42"/>
    </row>
    <row r="92" spans="1:15" s="1" customFormat="1" ht="13.5" customHeight="1" x14ac:dyDescent="0.2">
      <c r="A92" s="42">
        <v>5</v>
      </c>
      <c r="B92" s="42"/>
      <c r="C92" s="11" t="s">
        <v>72</v>
      </c>
      <c r="D92" s="43" t="s">
        <v>303</v>
      </c>
      <c r="E92" s="43"/>
      <c r="F92" s="43" t="s">
        <v>367</v>
      </c>
      <c r="G92" s="43"/>
      <c r="H92" s="31" t="s">
        <v>378</v>
      </c>
      <c r="I92" s="43" t="s">
        <v>389</v>
      </c>
      <c r="J92" s="43"/>
      <c r="K92" s="43" t="s">
        <v>400</v>
      </c>
      <c r="L92" s="43"/>
      <c r="M92" s="31" t="s">
        <v>411</v>
      </c>
      <c r="N92" s="30" t="e">
        <f t="shared" si="3"/>
        <v>#VALUE!</v>
      </c>
      <c r="O92" s="42"/>
    </row>
    <row r="93" spans="1:15" s="1" customFormat="1" ht="13.5" customHeight="1" x14ac:dyDescent="0.2">
      <c r="A93" s="42">
        <v>10</v>
      </c>
      <c r="B93" s="42"/>
      <c r="C93" s="11" t="s">
        <v>72</v>
      </c>
      <c r="D93" s="43" t="s">
        <v>304</v>
      </c>
      <c r="E93" s="43"/>
      <c r="F93" s="43" t="s">
        <v>368</v>
      </c>
      <c r="G93" s="43"/>
      <c r="H93" s="31" t="s">
        <v>379</v>
      </c>
      <c r="I93" s="43" t="s">
        <v>390</v>
      </c>
      <c r="J93" s="43"/>
      <c r="K93" s="43" t="s">
        <v>401</v>
      </c>
      <c r="L93" s="43"/>
      <c r="M93" s="31" t="s">
        <v>412</v>
      </c>
      <c r="N93" s="30" t="e">
        <f t="shared" si="3"/>
        <v>#VALUE!</v>
      </c>
      <c r="O93" s="42"/>
    </row>
    <row r="94" spans="1:15" s="1" customFormat="1" ht="13.5" customHeight="1" x14ac:dyDescent="0.2">
      <c r="A94" s="42">
        <v>20</v>
      </c>
      <c r="B94" s="42"/>
      <c r="C94" s="11" t="s">
        <v>72</v>
      </c>
      <c r="D94" s="43" t="s">
        <v>305</v>
      </c>
      <c r="E94" s="43"/>
      <c r="F94" s="43" t="s">
        <v>369</v>
      </c>
      <c r="G94" s="43"/>
      <c r="H94" s="31" t="s">
        <v>380</v>
      </c>
      <c r="I94" s="43" t="s">
        <v>391</v>
      </c>
      <c r="J94" s="43"/>
      <c r="K94" s="43" t="s">
        <v>402</v>
      </c>
      <c r="L94" s="43"/>
      <c r="M94" s="31" t="s">
        <v>413</v>
      </c>
      <c r="N94" s="30" t="e">
        <f t="shared" si="3"/>
        <v>#VALUE!</v>
      </c>
      <c r="O94" s="42"/>
    </row>
    <row r="95" spans="1:15" s="1" customFormat="1" ht="13.5" customHeight="1" x14ac:dyDescent="0.2">
      <c r="A95" s="42">
        <v>50</v>
      </c>
      <c r="B95" s="42"/>
      <c r="C95" s="11" t="s">
        <v>73</v>
      </c>
      <c r="D95" s="43" t="s">
        <v>306</v>
      </c>
      <c r="E95" s="43"/>
      <c r="F95" s="43" t="s">
        <v>370</v>
      </c>
      <c r="G95" s="43"/>
      <c r="H95" s="31" t="s">
        <v>381</v>
      </c>
      <c r="I95" s="43" t="s">
        <v>392</v>
      </c>
      <c r="J95" s="43"/>
      <c r="K95" s="43" t="s">
        <v>403</v>
      </c>
      <c r="L95" s="43"/>
      <c r="M95" s="31" t="s">
        <v>414</v>
      </c>
      <c r="N95" s="30" t="e">
        <f t="shared" si="3"/>
        <v>#VALUE!</v>
      </c>
      <c r="O95" s="42"/>
    </row>
    <row r="96" spans="1:15" s="1" customFormat="1" ht="13.5" customHeight="1" x14ac:dyDescent="0.2">
      <c r="A96" s="42">
        <v>100</v>
      </c>
      <c r="B96" s="42"/>
      <c r="C96" s="11" t="s">
        <v>74</v>
      </c>
      <c r="D96" s="43" t="s">
        <v>307</v>
      </c>
      <c r="E96" s="43"/>
      <c r="F96" s="43" t="s">
        <v>371</v>
      </c>
      <c r="G96" s="43"/>
      <c r="H96" s="31" t="s">
        <v>382</v>
      </c>
      <c r="I96" s="43" t="s">
        <v>393</v>
      </c>
      <c r="J96" s="43"/>
      <c r="K96" s="43" t="s">
        <v>404</v>
      </c>
      <c r="L96" s="43"/>
      <c r="M96" s="31" t="s">
        <v>415</v>
      </c>
      <c r="N96" s="30" t="e">
        <f t="shared" si="3"/>
        <v>#VALUE!</v>
      </c>
      <c r="O96" s="42"/>
    </row>
    <row r="97" spans="1:15" s="1" customFormat="1" ht="13.5" customHeight="1" x14ac:dyDescent="0.2">
      <c r="A97" s="42">
        <v>200</v>
      </c>
      <c r="B97" s="42"/>
      <c r="C97" s="11" t="s">
        <v>75</v>
      </c>
      <c r="D97" s="43" t="s">
        <v>308</v>
      </c>
      <c r="E97" s="43"/>
      <c r="F97" s="43" t="s">
        <v>372</v>
      </c>
      <c r="G97" s="43"/>
      <c r="H97" s="31" t="s">
        <v>383</v>
      </c>
      <c r="I97" s="43" t="s">
        <v>394</v>
      </c>
      <c r="J97" s="43"/>
      <c r="K97" s="43" t="s">
        <v>405</v>
      </c>
      <c r="L97" s="43"/>
      <c r="M97" s="31" t="s">
        <v>416</v>
      </c>
      <c r="N97" s="30" t="e">
        <f t="shared" si="3"/>
        <v>#VALUE!</v>
      </c>
      <c r="O97" s="42"/>
    </row>
    <row r="98" spans="1:15" s="1" customFormat="1" ht="13.5" customHeight="1" x14ac:dyDescent="0.2">
      <c r="A98" s="42">
        <v>500</v>
      </c>
      <c r="B98" s="42"/>
      <c r="C98" s="11" t="s">
        <v>76</v>
      </c>
      <c r="D98" s="43" t="s">
        <v>362</v>
      </c>
      <c r="E98" s="43"/>
      <c r="F98" s="43" t="s">
        <v>373</v>
      </c>
      <c r="G98" s="43"/>
      <c r="H98" s="31" t="s">
        <v>384</v>
      </c>
      <c r="I98" s="43" t="s">
        <v>395</v>
      </c>
      <c r="J98" s="43"/>
      <c r="K98" s="43" t="s">
        <v>406</v>
      </c>
      <c r="L98" s="43"/>
      <c r="M98" s="31" t="s">
        <v>417</v>
      </c>
      <c r="N98" s="30" t="e">
        <f t="shared" si="3"/>
        <v>#VALUE!</v>
      </c>
      <c r="O98" s="42"/>
    </row>
    <row r="99" spans="1:15" s="1" customFormat="1" ht="13.5" customHeight="1" x14ac:dyDescent="0.2">
      <c r="A99" s="42" t="s">
        <v>68</v>
      </c>
      <c r="B99" s="42"/>
      <c r="C99" s="11" t="s">
        <v>76</v>
      </c>
      <c r="D99" s="43" t="s">
        <v>363</v>
      </c>
      <c r="E99" s="43"/>
      <c r="F99" s="43" t="s">
        <v>374</v>
      </c>
      <c r="G99" s="43"/>
      <c r="H99" s="31" t="s">
        <v>385</v>
      </c>
      <c r="I99" s="43" t="s">
        <v>396</v>
      </c>
      <c r="J99" s="43"/>
      <c r="K99" s="43" t="s">
        <v>407</v>
      </c>
      <c r="L99" s="43"/>
      <c r="M99" s="31" t="s">
        <v>418</v>
      </c>
      <c r="N99" s="30" t="e">
        <f t="shared" si="3"/>
        <v>#VALUE!</v>
      </c>
      <c r="O99" s="42"/>
    </row>
    <row r="100" spans="1:15" s="1" customFormat="1" ht="13.5" customHeight="1" x14ac:dyDescent="0.2">
      <c r="A100" s="42" t="s">
        <v>69</v>
      </c>
      <c r="B100" s="42"/>
      <c r="C100" s="9" t="s">
        <v>76</v>
      </c>
      <c r="D100" s="43" t="s">
        <v>364</v>
      </c>
      <c r="E100" s="43"/>
      <c r="F100" s="43" t="s">
        <v>375</v>
      </c>
      <c r="G100" s="43"/>
      <c r="H100" s="31" t="s">
        <v>386</v>
      </c>
      <c r="I100" s="43" t="s">
        <v>397</v>
      </c>
      <c r="J100" s="43"/>
      <c r="K100" s="43" t="s">
        <v>408</v>
      </c>
      <c r="L100" s="43"/>
      <c r="M100" s="31" t="s">
        <v>419</v>
      </c>
      <c r="N100" s="30" t="e">
        <f t="shared" si="3"/>
        <v>#VALUE!</v>
      </c>
      <c r="O100" s="42"/>
    </row>
    <row r="101" spans="1:15" s="1" customFormat="1" ht="13.5" customHeight="1" x14ac:dyDescent="0.2">
      <c r="A101" s="42" t="s">
        <v>70</v>
      </c>
      <c r="B101" s="42"/>
      <c r="C101" s="9" t="s">
        <v>76</v>
      </c>
      <c r="D101" s="43" t="s">
        <v>365</v>
      </c>
      <c r="E101" s="43"/>
      <c r="F101" s="43" t="s">
        <v>376</v>
      </c>
      <c r="G101" s="43"/>
      <c r="H101" s="31" t="s">
        <v>387</v>
      </c>
      <c r="I101" s="43" t="s">
        <v>398</v>
      </c>
      <c r="J101" s="43"/>
      <c r="K101" s="43" t="s">
        <v>409</v>
      </c>
      <c r="L101" s="43"/>
      <c r="M101" s="31" t="s">
        <v>420</v>
      </c>
      <c r="N101" s="30" t="e">
        <f t="shared" si="3"/>
        <v>#VALUE!</v>
      </c>
      <c r="O101" s="42"/>
    </row>
    <row r="102" spans="1:15" ht="3.75" customHeight="1" x14ac:dyDescent="0.2">
      <c r="A102" s="20"/>
      <c r="B102" s="20"/>
      <c r="C102" s="20"/>
      <c r="D102" s="21"/>
      <c r="E102" s="21"/>
      <c r="F102" s="20"/>
      <c r="G102" s="20"/>
      <c r="H102" s="20"/>
      <c r="I102" s="20"/>
      <c r="J102" s="20"/>
      <c r="K102" s="20"/>
      <c r="L102" s="20"/>
      <c r="M102" s="20"/>
      <c r="N102" s="20"/>
      <c r="O102" s="20"/>
    </row>
    <row r="103" spans="1:15" s="1" customFormat="1" x14ac:dyDescent="0.2">
      <c r="A103" s="22" t="s">
        <v>77</v>
      </c>
      <c r="B103" s="23"/>
      <c r="C103" s="23"/>
      <c r="D103" s="23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spans="1:15" s="1" customFormat="1" ht="6" customHeight="1" x14ac:dyDescent="0.2">
      <c r="A104" s="24"/>
      <c r="B104" s="23"/>
      <c r="C104" s="23"/>
      <c r="D104" s="23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s="1" customFormat="1" ht="27" x14ac:dyDescent="0.2">
      <c r="A105" s="10" t="s">
        <v>39</v>
      </c>
      <c r="B105" s="11" t="s">
        <v>20</v>
      </c>
      <c r="C105" s="10" t="s">
        <v>41</v>
      </c>
      <c r="D105" s="10" t="s">
        <v>42</v>
      </c>
      <c r="E105" s="10" t="s">
        <v>78</v>
      </c>
      <c r="F105" s="10" t="s">
        <v>79</v>
      </c>
      <c r="G105" s="10" t="s">
        <v>80</v>
      </c>
      <c r="H105" s="25" t="s">
        <v>81</v>
      </c>
      <c r="I105" s="25" t="s">
        <v>21</v>
      </c>
      <c r="J105" s="18"/>
      <c r="K105" s="18"/>
      <c r="L105" s="18"/>
      <c r="M105" s="18"/>
      <c r="N105" s="18"/>
      <c r="O105" s="18"/>
    </row>
    <row r="106" spans="1:15" s="1" customFormat="1" ht="13.5" x14ac:dyDescent="0.2">
      <c r="A106" s="39">
        <v>1</v>
      </c>
      <c r="B106" s="19">
        <v>5</v>
      </c>
      <c r="C106" s="32" t="s">
        <v>441</v>
      </c>
      <c r="D106" s="32" t="s">
        <v>442</v>
      </c>
      <c r="E106" s="32" t="s">
        <v>443</v>
      </c>
      <c r="F106" s="32" t="s">
        <v>444</v>
      </c>
      <c r="G106" s="30" t="e">
        <f>C106/D106</f>
        <v>#VALUE!</v>
      </c>
      <c r="H106" s="30" t="e">
        <f>20*LOG10((E106/F106)/G106)</f>
        <v>#VALUE!</v>
      </c>
      <c r="I106" s="39" t="s">
        <v>22</v>
      </c>
      <c r="J106" s="18"/>
      <c r="K106" s="18"/>
      <c r="L106" s="18"/>
      <c r="M106" s="18"/>
      <c r="N106" s="18"/>
      <c r="O106" s="18"/>
    </row>
    <row r="107" spans="1:15" s="1" customFormat="1" ht="13.5" x14ac:dyDescent="0.2">
      <c r="A107" s="40"/>
      <c r="B107" s="19">
        <v>10</v>
      </c>
      <c r="C107" s="32" t="s">
        <v>445</v>
      </c>
      <c r="D107" s="32" t="s">
        <v>446</v>
      </c>
      <c r="E107" s="32" t="s">
        <v>447</v>
      </c>
      <c r="F107" s="32" t="s">
        <v>448</v>
      </c>
      <c r="G107" s="30" t="e">
        <f t="shared" ref="G107:G138" si="4">C107/D107</f>
        <v>#VALUE!</v>
      </c>
      <c r="H107" s="30" t="e">
        <f t="shared" ref="H107:H138" si="5">20*LOG10((E107/F107)/G107)</f>
        <v>#VALUE!</v>
      </c>
      <c r="I107" s="40"/>
      <c r="J107" s="18"/>
      <c r="K107" s="18"/>
      <c r="L107" s="18"/>
      <c r="M107" s="18"/>
      <c r="N107" s="18"/>
      <c r="O107" s="18"/>
    </row>
    <row r="108" spans="1:15" s="1" customFormat="1" ht="13.5" x14ac:dyDescent="0.2">
      <c r="A108" s="40"/>
      <c r="B108" s="26">
        <v>20</v>
      </c>
      <c r="C108" s="32" t="s">
        <v>449</v>
      </c>
      <c r="D108" s="32" t="s">
        <v>450</v>
      </c>
      <c r="E108" s="32" t="s">
        <v>451</v>
      </c>
      <c r="F108" s="32" t="s">
        <v>452</v>
      </c>
      <c r="G108" s="30" t="e">
        <f t="shared" si="4"/>
        <v>#VALUE!</v>
      </c>
      <c r="H108" s="30" t="e">
        <f t="shared" si="5"/>
        <v>#VALUE!</v>
      </c>
      <c r="I108" s="40"/>
      <c r="J108" s="18"/>
      <c r="K108" s="18"/>
      <c r="L108" s="18"/>
      <c r="M108" s="18"/>
      <c r="N108" s="18"/>
      <c r="O108" s="18"/>
    </row>
    <row r="109" spans="1:15" s="1" customFormat="1" ht="13.5" x14ac:dyDescent="0.2">
      <c r="A109" s="40"/>
      <c r="B109" s="26">
        <v>50</v>
      </c>
      <c r="C109" s="32" t="s">
        <v>421</v>
      </c>
      <c r="D109" s="32" t="s">
        <v>422</v>
      </c>
      <c r="E109" s="32" t="s">
        <v>423</v>
      </c>
      <c r="F109" s="32" t="s">
        <v>424</v>
      </c>
      <c r="G109" s="30" t="e">
        <f t="shared" si="4"/>
        <v>#VALUE!</v>
      </c>
      <c r="H109" s="30" t="e">
        <f t="shared" si="5"/>
        <v>#VALUE!</v>
      </c>
      <c r="I109" s="40"/>
      <c r="J109" s="18"/>
      <c r="K109" s="18"/>
      <c r="L109" s="18"/>
      <c r="M109" s="18"/>
      <c r="N109" s="18"/>
      <c r="O109" s="18"/>
    </row>
    <row r="110" spans="1:15" s="1" customFormat="1" ht="13.5" x14ac:dyDescent="0.2">
      <c r="A110" s="40"/>
      <c r="B110" s="26">
        <v>100</v>
      </c>
      <c r="C110" s="32" t="s">
        <v>425</v>
      </c>
      <c r="D110" s="32" t="s">
        <v>426</v>
      </c>
      <c r="E110" s="32" t="s">
        <v>427</v>
      </c>
      <c r="F110" s="32" t="s">
        <v>428</v>
      </c>
      <c r="G110" s="30" t="e">
        <f t="shared" si="4"/>
        <v>#VALUE!</v>
      </c>
      <c r="H110" s="30" t="e">
        <f t="shared" si="5"/>
        <v>#VALUE!</v>
      </c>
      <c r="I110" s="40"/>
      <c r="J110" s="18"/>
      <c r="K110" s="18"/>
      <c r="L110" s="18"/>
      <c r="M110" s="18"/>
      <c r="N110" s="18"/>
      <c r="O110" s="18"/>
    </row>
    <row r="111" spans="1:15" s="1" customFormat="1" ht="13.5" x14ac:dyDescent="0.2">
      <c r="A111" s="40"/>
      <c r="B111" s="27">
        <v>200</v>
      </c>
      <c r="C111" s="32" t="s">
        <v>429</v>
      </c>
      <c r="D111" s="32" t="s">
        <v>430</v>
      </c>
      <c r="E111" s="32" t="s">
        <v>431</v>
      </c>
      <c r="F111" s="32" t="s">
        <v>432</v>
      </c>
      <c r="G111" s="30" t="e">
        <f t="shared" si="4"/>
        <v>#VALUE!</v>
      </c>
      <c r="H111" s="30" t="e">
        <f t="shared" si="5"/>
        <v>#VALUE!</v>
      </c>
      <c r="I111" s="40"/>
      <c r="J111" s="18"/>
      <c r="K111" s="18"/>
      <c r="L111" s="18"/>
      <c r="M111" s="18"/>
      <c r="N111" s="18"/>
      <c r="O111" s="18"/>
    </row>
    <row r="112" spans="1:15" s="1" customFormat="1" ht="13.5" x14ac:dyDescent="0.2">
      <c r="A112" s="40"/>
      <c r="B112" s="27">
        <v>500</v>
      </c>
      <c r="C112" s="32" t="s">
        <v>433</v>
      </c>
      <c r="D112" s="32" t="s">
        <v>434</v>
      </c>
      <c r="E112" s="32" t="s">
        <v>435</v>
      </c>
      <c r="F112" s="32" t="s">
        <v>436</v>
      </c>
      <c r="G112" s="30" t="e">
        <f t="shared" si="4"/>
        <v>#VALUE!</v>
      </c>
      <c r="H112" s="30" t="e">
        <f t="shared" si="5"/>
        <v>#VALUE!</v>
      </c>
      <c r="I112" s="40"/>
      <c r="J112" s="18"/>
      <c r="K112" s="18"/>
      <c r="L112" s="18"/>
      <c r="M112" s="18"/>
      <c r="N112" s="18"/>
      <c r="O112" s="18"/>
    </row>
    <row r="113" spans="1:15" s="1" customFormat="1" ht="13.5" x14ac:dyDescent="0.2">
      <c r="A113" s="41"/>
      <c r="B113" s="27">
        <v>1000</v>
      </c>
      <c r="C113" s="32" t="s">
        <v>437</v>
      </c>
      <c r="D113" s="32" t="s">
        <v>438</v>
      </c>
      <c r="E113" s="32" t="s">
        <v>439</v>
      </c>
      <c r="F113" s="32" t="s">
        <v>440</v>
      </c>
      <c r="G113" s="30" t="e">
        <f t="shared" si="4"/>
        <v>#VALUE!</v>
      </c>
      <c r="H113" s="30" t="e">
        <f t="shared" si="5"/>
        <v>#VALUE!</v>
      </c>
      <c r="I113" s="41"/>
      <c r="J113" s="18"/>
      <c r="K113" s="18"/>
      <c r="L113" s="18"/>
      <c r="M113" s="18"/>
      <c r="N113" s="18"/>
      <c r="O113" s="18"/>
    </row>
    <row r="114" spans="1:15" s="1" customFormat="1" ht="27" x14ac:dyDescent="0.2">
      <c r="A114" s="10" t="s">
        <v>39</v>
      </c>
      <c r="B114" s="11" t="s">
        <v>20</v>
      </c>
      <c r="C114" s="10" t="s">
        <v>41</v>
      </c>
      <c r="D114" s="10" t="s">
        <v>42</v>
      </c>
      <c r="E114" s="10" t="s">
        <v>78</v>
      </c>
      <c r="F114" s="10" t="s">
        <v>79</v>
      </c>
      <c r="G114" s="10" t="s">
        <v>80</v>
      </c>
      <c r="H114" s="25" t="s">
        <v>81</v>
      </c>
      <c r="I114" s="25" t="s">
        <v>21</v>
      </c>
      <c r="J114" s="18"/>
      <c r="K114" s="18"/>
      <c r="L114" s="18"/>
      <c r="M114" s="18"/>
      <c r="N114" s="18"/>
      <c r="O114" s="18"/>
    </row>
    <row r="115" spans="1:15" s="1" customFormat="1" ht="13.5" x14ac:dyDescent="0.2">
      <c r="A115" s="42">
        <v>2</v>
      </c>
      <c r="B115" s="19">
        <v>5</v>
      </c>
      <c r="C115" s="32" t="s">
        <v>453</v>
      </c>
      <c r="D115" s="32" t="s">
        <v>454</v>
      </c>
      <c r="E115" s="32" t="s">
        <v>455</v>
      </c>
      <c r="F115" s="32" t="s">
        <v>456</v>
      </c>
      <c r="G115" s="30" t="e">
        <f t="shared" si="4"/>
        <v>#VALUE!</v>
      </c>
      <c r="H115" s="30" t="e">
        <f t="shared" si="5"/>
        <v>#VALUE!</v>
      </c>
      <c r="I115" s="39" t="s">
        <v>22</v>
      </c>
      <c r="J115" s="18"/>
      <c r="K115" s="18"/>
      <c r="L115" s="18"/>
      <c r="M115" s="18"/>
      <c r="N115" s="18"/>
      <c r="O115" s="18"/>
    </row>
    <row r="116" spans="1:15" s="1" customFormat="1" ht="13.5" x14ac:dyDescent="0.2">
      <c r="A116" s="42"/>
      <c r="B116" s="19">
        <v>10</v>
      </c>
      <c r="C116" s="32" t="s">
        <v>457</v>
      </c>
      <c r="D116" s="32" t="s">
        <v>458</v>
      </c>
      <c r="E116" s="32" t="s">
        <v>459</v>
      </c>
      <c r="F116" s="32" t="s">
        <v>460</v>
      </c>
      <c r="G116" s="30" t="e">
        <f t="shared" si="4"/>
        <v>#VALUE!</v>
      </c>
      <c r="H116" s="30" t="e">
        <f t="shared" si="5"/>
        <v>#VALUE!</v>
      </c>
      <c r="I116" s="40"/>
      <c r="J116" s="18"/>
      <c r="K116" s="18"/>
      <c r="L116" s="18"/>
      <c r="M116" s="18"/>
      <c r="N116" s="18"/>
      <c r="O116" s="18"/>
    </row>
    <row r="117" spans="1:15" s="1" customFormat="1" ht="13.5" x14ac:dyDescent="0.2">
      <c r="A117" s="42"/>
      <c r="B117" s="26">
        <v>20</v>
      </c>
      <c r="C117" s="32" t="s">
        <v>461</v>
      </c>
      <c r="D117" s="32" t="s">
        <v>462</v>
      </c>
      <c r="E117" s="32" t="s">
        <v>463</v>
      </c>
      <c r="F117" s="32" t="s">
        <v>464</v>
      </c>
      <c r="G117" s="30" t="e">
        <f t="shared" si="4"/>
        <v>#VALUE!</v>
      </c>
      <c r="H117" s="30" t="e">
        <f t="shared" si="5"/>
        <v>#VALUE!</v>
      </c>
      <c r="I117" s="40"/>
      <c r="J117" s="18"/>
      <c r="K117" s="18"/>
      <c r="L117" s="18"/>
      <c r="M117" s="18"/>
      <c r="N117" s="18"/>
      <c r="O117" s="18"/>
    </row>
    <row r="118" spans="1:15" s="1" customFormat="1" ht="13.5" x14ac:dyDescent="0.2">
      <c r="A118" s="42"/>
      <c r="B118" s="26">
        <v>50</v>
      </c>
      <c r="C118" s="32" t="s">
        <v>465</v>
      </c>
      <c r="D118" s="32" t="s">
        <v>466</v>
      </c>
      <c r="E118" s="32" t="s">
        <v>467</v>
      </c>
      <c r="F118" s="32" t="s">
        <v>468</v>
      </c>
      <c r="G118" s="30" t="e">
        <f t="shared" si="4"/>
        <v>#VALUE!</v>
      </c>
      <c r="H118" s="30" t="e">
        <f t="shared" si="5"/>
        <v>#VALUE!</v>
      </c>
      <c r="I118" s="40"/>
      <c r="J118" s="18"/>
      <c r="K118" s="18"/>
      <c r="L118" s="18"/>
      <c r="M118" s="18"/>
      <c r="N118" s="18"/>
      <c r="O118" s="18"/>
    </row>
    <row r="119" spans="1:15" s="1" customFormat="1" ht="13.5" x14ac:dyDescent="0.2">
      <c r="A119" s="42"/>
      <c r="B119" s="26">
        <v>100</v>
      </c>
      <c r="C119" s="32" t="s">
        <v>469</v>
      </c>
      <c r="D119" s="32" t="s">
        <v>470</v>
      </c>
      <c r="E119" s="32" t="s">
        <v>471</v>
      </c>
      <c r="F119" s="32" t="s">
        <v>472</v>
      </c>
      <c r="G119" s="30" t="e">
        <f t="shared" si="4"/>
        <v>#VALUE!</v>
      </c>
      <c r="H119" s="30" t="e">
        <f t="shared" si="5"/>
        <v>#VALUE!</v>
      </c>
      <c r="I119" s="40"/>
      <c r="J119" s="18"/>
      <c r="K119" s="18"/>
      <c r="L119" s="18"/>
      <c r="M119" s="18"/>
      <c r="N119" s="18"/>
      <c r="O119" s="18"/>
    </row>
    <row r="120" spans="1:15" s="1" customFormat="1" ht="13.5" x14ac:dyDescent="0.2">
      <c r="A120" s="42"/>
      <c r="B120" s="27">
        <v>200</v>
      </c>
      <c r="C120" s="32" t="s">
        <v>473</v>
      </c>
      <c r="D120" s="32" t="s">
        <v>474</v>
      </c>
      <c r="E120" s="32" t="s">
        <v>475</v>
      </c>
      <c r="F120" s="32" t="s">
        <v>476</v>
      </c>
      <c r="G120" s="30" t="e">
        <f t="shared" si="4"/>
        <v>#VALUE!</v>
      </c>
      <c r="H120" s="30" t="e">
        <f t="shared" si="5"/>
        <v>#VALUE!</v>
      </c>
      <c r="I120" s="40"/>
      <c r="J120" s="18"/>
      <c r="K120" s="18"/>
      <c r="L120" s="18"/>
      <c r="M120" s="18"/>
      <c r="N120" s="18"/>
      <c r="O120" s="18"/>
    </row>
    <row r="121" spans="1:15" s="1" customFormat="1" ht="13.5" x14ac:dyDescent="0.2">
      <c r="A121" s="42"/>
      <c r="B121" s="27">
        <v>500</v>
      </c>
      <c r="C121" s="32" t="s">
        <v>477</v>
      </c>
      <c r="D121" s="32" t="s">
        <v>478</v>
      </c>
      <c r="E121" s="32" t="s">
        <v>479</v>
      </c>
      <c r="F121" s="32" t="s">
        <v>480</v>
      </c>
      <c r="G121" s="30" t="e">
        <f t="shared" si="4"/>
        <v>#VALUE!</v>
      </c>
      <c r="H121" s="30" t="e">
        <f t="shared" si="5"/>
        <v>#VALUE!</v>
      </c>
      <c r="I121" s="40"/>
      <c r="J121" s="18"/>
      <c r="K121" s="18"/>
      <c r="L121" s="18"/>
      <c r="M121" s="18"/>
      <c r="N121" s="18"/>
      <c r="O121" s="18"/>
    </row>
    <row r="122" spans="1:15" s="1" customFormat="1" ht="13.5" x14ac:dyDescent="0.2">
      <c r="A122" s="42"/>
      <c r="B122" s="27">
        <v>1000</v>
      </c>
      <c r="C122" s="32" t="s">
        <v>481</v>
      </c>
      <c r="D122" s="32" t="s">
        <v>482</v>
      </c>
      <c r="E122" s="32" t="s">
        <v>483</v>
      </c>
      <c r="F122" s="32" t="s">
        <v>484</v>
      </c>
      <c r="G122" s="30" t="e">
        <f t="shared" si="4"/>
        <v>#VALUE!</v>
      </c>
      <c r="H122" s="30" t="e">
        <f t="shared" si="5"/>
        <v>#VALUE!</v>
      </c>
      <c r="I122" s="40"/>
      <c r="J122" s="18"/>
      <c r="K122" s="18"/>
      <c r="L122" s="18"/>
      <c r="M122" s="18"/>
      <c r="N122" s="18"/>
      <c r="O122" s="18"/>
    </row>
    <row r="123" spans="1:15" s="1" customFormat="1" ht="13.5" x14ac:dyDescent="0.2">
      <c r="A123" s="42">
        <v>3</v>
      </c>
      <c r="B123" s="19">
        <v>5</v>
      </c>
      <c r="C123" s="32" t="s">
        <v>485</v>
      </c>
      <c r="D123" s="32" t="s">
        <v>486</v>
      </c>
      <c r="E123" s="32" t="s">
        <v>487</v>
      </c>
      <c r="F123" s="32" t="s">
        <v>488</v>
      </c>
      <c r="G123" s="30" t="e">
        <f t="shared" si="4"/>
        <v>#VALUE!</v>
      </c>
      <c r="H123" s="30" t="e">
        <f t="shared" si="5"/>
        <v>#VALUE!</v>
      </c>
      <c r="I123" s="40"/>
      <c r="J123" s="18"/>
      <c r="K123" s="18"/>
      <c r="L123" s="18"/>
      <c r="M123" s="18"/>
      <c r="N123" s="18"/>
      <c r="O123" s="18"/>
    </row>
    <row r="124" spans="1:15" s="1" customFormat="1" ht="13.5" x14ac:dyDescent="0.2">
      <c r="A124" s="42"/>
      <c r="B124" s="19">
        <v>10</v>
      </c>
      <c r="C124" s="32" t="s">
        <v>489</v>
      </c>
      <c r="D124" s="32" t="s">
        <v>490</v>
      </c>
      <c r="E124" s="32" t="s">
        <v>491</v>
      </c>
      <c r="F124" s="32" t="s">
        <v>492</v>
      </c>
      <c r="G124" s="30" t="e">
        <f t="shared" si="4"/>
        <v>#VALUE!</v>
      </c>
      <c r="H124" s="30" t="e">
        <f t="shared" si="5"/>
        <v>#VALUE!</v>
      </c>
      <c r="I124" s="40"/>
      <c r="J124" s="18"/>
      <c r="K124" s="18"/>
      <c r="L124" s="18"/>
      <c r="M124" s="18"/>
      <c r="N124" s="18"/>
      <c r="O124" s="18"/>
    </row>
    <row r="125" spans="1:15" s="1" customFormat="1" ht="13.5" x14ac:dyDescent="0.2">
      <c r="A125" s="42"/>
      <c r="B125" s="26">
        <v>20</v>
      </c>
      <c r="C125" s="32" t="s">
        <v>493</v>
      </c>
      <c r="D125" s="32" t="s">
        <v>494</v>
      </c>
      <c r="E125" s="32" t="s">
        <v>495</v>
      </c>
      <c r="F125" s="32" t="s">
        <v>496</v>
      </c>
      <c r="G125" s="30" t="e">
        <f t="shared" si="4"/>
        <v>#VALUE!</v>
      </c>
      <c r="H125" s="30" t="e">
        <f t="shared" si="5"/>
        <v>#VALUE!</v>
      </c>
      <c r="I125" s="40"/>
      <c r="J125" s="18"/>
      <c r="K125" s="18"/>
      <c r="L125" s="18"/>
      <c r="M125" s="18"/>
      <c r="N125" s="18"/>
      <c r="O125" s="18"/>
    </row>
    <row r="126" spans="1:15" s="1" customFormat="1" ht="13.5" x14ac:dyDescent="0.2">
      <c r="A126" s="42"/>
      <c r="B126" s="26">
        <v>50</v>
      </c>
      <c r="C126" s="32" t="s">
        <v>497</v>
      </c>
      <c r="D126" s="32" t="s">
        <v>498</v>
      </c>
      <c r="E126" s="32" t="s">
        <v>499</v>
      </c>
      <c r="F126" s="32" t="s">
        <v>500</v>
      </c>
      <c r="G126" s="30" t="e">
        <f t="shared" si="4"/>
        <v>#VALUE!</v>
      </c>
      <c r="H126" s="30" t="e">
        <f t="shared" si="5"/>
        <v>#VALUE!</v>
      </c>
      <c r="I126" s="40"/>
      <c r="J126" s="18"/>
      <c r="K126" s="18"/>
      <c r="L126" s="18"/>
      <c r="M126" s="18"/>
      <c r="N126" s="18"/>
      <c r="O126" s="18"/>
    </row>
    <row r="127" spans="1:15" s="1" customFormat="1" ht="13.5" x14ac:dyDescent="0.2">
      <c r="A127" s="42"/>
      <c r="B127" s="26">
        <v>100</v>
      </c>
      <c r="C127" s="32" t="s">
        <v>501</v>
      </c>
      <c r="D127" s="32" t="s">
        <v>502</v>
      </c>
      <c r="E127" s="32" t="s">
        <v>503</v>
      </c>
      <c r="F127" s="32" t="s">
        <v>504</v>
      </c>
      <c r="G127" s="30" t="e">
        <f t="shared" si="4"/>
        <v>#VALUE!</v>
      </c>
      <c r="H127" s="30" t="e">
        <f t="shared" si="5"/>
        <v>#VALUE!</v>
      </c>
      <c r="I127" s="40"/>
      <c r="J127" s="18"/>
      <c r="K127" s="18"/>
      <c r="L127" s="18"/>
      <c r="M127" s="18"/>
      <c r="N127" s="18"/>
      <c r="O127" s="18"/>
    </row>
    <row r="128" spans="1:15" s="1" customFormat="1" ht="13.5" x14ac:dyDescent="0.2">
      <c r="A128" s="42"/>
      <c r="B128" s="27">
        <v>200</v>
      </c>
      <c r="C128" s="32" t="s">
        <v>505</v>
      </c>
      <c r="D128" s="32" t="s">
        <v>506</v>
      </c>
      <c r="E128" s="32" t="s">
        <v>507</v>
      </c>
      <c r="F128" s="32" t="s">
        <v>508</v>
      </c>
      <c r="G128" s="30" t="e">
        <f t="shared" si="4"/>
        <v>#VALUE!</v>
      </c>
      <c r="H128" s="30" t="e">
        <f t="shared" si="5"/>
        <v>#VALUE!</v>
      </c>
      <c r="I128" s="40"/>
      <c r="J128" s="18"/>
      <c r="K128" s="18"/>
      <c r="L128" s="18"/>
      <c r="M128" s="18"/>
      <c r="N128" s="18"/>
      <c r="O128" s="18"/>
    </row>
    <row r="129" spans="1:15" s="1" customFormat="1" ht="13.5" x14ac:dyDescent="0.2">
      <c r="A129" s="42"/>
      <c r="B129" s="27">
        <v>500</v>
      </c>
      <c r="C129" s="32" t="s">
        <v>509</v>
      </c>
      <c r="D129" s="32" t="s">
        <v>510</v>
      </c>
      <c r="E129" s="32" t="s">
        <v>511</v>
      </c>
      <c r="F129" s="32" t="s">
        <v>512</v>
      </c>
      <c r="G129" s="30" t="e">
        <f t="shared" si="4"/>
        <v>#VALUE!</v>
      </c>
      <c r="H129" s="30" t="e">
        <f t="shared" si="5"/>
        <v>#VALUE!</v>
      </c>
      <c r="I129" s="40"/>
      <c r="J129" s="18"/>
      <c r="K129" s="18"/>
      <c r="L129" s="18"/>
      <c r="M129" s="18"/>
      <c r="N129" s="18"/>
      <c r="O129" s="18"/>
    </row>
    <row r="130" spans="1:15" s="1" customFormat="1" ht="13.5" x14ac:dyDescent="0.2">
      <c r="A130" s="42"/>
      <c r="B130" s="27">
        <v>1000</v>
      </c>
      <c r="C130" s="32" t="s">
        <v>513</v>
      </c>
      <c r="D130" s="32" t="s">
        <v>514</v>
      </c>
      <c r="E130" s="32" t="s">
        <v>515</v>
      </c>
      <c r="F130" s="32" t="s">
        <v>516</v>
      </c>
      <c r="G130" s="30" t="e">
        <f t="shared" si="4"/>
        <v>#VALUE!</v>
      </c>
      <c r="H130" s="30" t="e">
        <f t="shared" si="5"/>
        <v>#VALUE!</v>
      </c>
      <c r="I130" s="40"/>
      <c r="J130" s="18"/>
      <c r="K130" s="18"/>
      <c r="L130" s="18"/>
      <c r="M130" s="18"/>
      <c r="N130" s="18"/>
      <c r="O130" s="18"/>
    </row>
    <row r="131" spans="1:15" s="1" customFormat="1" ht="13.5" x14ac:dyDescent="0.2">
      <c r="A131" s="42">
        <v>4</v>
      </c>
      <c r="B131" s="19">
        <v>5</v>
      </c>
      <c r="C131" s="32" t="s">
        <v>517</v>
      </c>
      <c r="D131" s="32" t="s">
        <v>518</v>
      </c>
      <c r="E131" s="32" t="s">
        <v>519</v>
      </c>
      <c r="F131" s="32" t="s">
        <v>520</v>
      </c>
      <c r="G131" s="30" t="e">
        <f t="shared" si="4"/>
        <v>#VALUE!</v>
      </c>
      <c r="H131" s="30" t="e">
        <f t="shared" si="5"/>
        <v>#VALUE!</v>
      </c>
      <c r="I131" s="40"/>
      <c r="J131" s="18"/>
      <c r="K131" s="18"/>
      <c r="L131" s="18"/>
      <c r="M131" s="18"/>
      <c r="N131" s="18"/>
      <c r="O131" s="18"/>
    </row>
    <row r="132" spans="1:15" s="1" customFormat="1" ht="13.5" x14ac:dyDescent="0.2">
      <c r="A132" s="42"/>
      <c r="B132" s="19">
        <v>10</v>
      </c>
      <c r="C132" s="32" t="s">
        <v>521</v>
      </c>
      <c r="D132" s="32" t="s">
        <v>522</v>
      </c>
      <c r="E132" s="32" t="s">
        <v>523</v>
      </c>
      <c r="F132" s="32" t="s">
        <v>524</v>
      </c>
      <c r="G132" s="30" t="e">
        <f t="shared" si="4"/>
        <v>#VALUE!</v>
      </c>
      <c r="H132" s="30" t="e">
        <f t="shared" si="5"/>
        <v>#VALUE!</v>
      </c>
      <c r="I132" s="40"/>
      <c r="J132" s="18"/>
      <c r="K132" s="18"/>
      <c r="L132" s="18"/>
      <c r="M132" s="18"/>
      <c r="N132" s="18"/>
      <c r="O132" s="18"/>
    </row>
    <row r="133" spans="1:15" s="1" customFormat="1" ht="13.5" x14ac:dyDescent="0.2">
      <c r="A133" s="42"/>
      <c r="B133" s="26">
        <v>20</v>
      </c>
      <c r="C133" s="32" t="s">
        <v>525</v>
      </c>
      <c r="D133" s="32" t="s">
        <v>526</v>
      </c>
      <c r="E133" s="32" t="s">
        <v>527</v>
      </c>
      <c r="F133" s="32" t="s">
        <v>528</v>
      </c>
      <c r="G133" s="30" t="e">
        <f t="shared" si="4"/>
        <v>#VALUE!</v>
      </c>
      <c r="H133" s="30" t="e">
        <f t="shared" si="5"/>
        <v>#VALUE!</v>
      </c>
      <c r="I133" s="40"/>
      <c r="J133" s="18"/>
      <c r="K133" s="18"/>
      <c r="L133" s="18"/>
      <c r="M133" s="18"/>
      <c r="N133" s="18"/>
      <c r="O133" s="18"/>
    </row>
    <row r="134" spans="1:15" s="1" customFormat="1" ht="13.5" x14ac:dyDescent="0.2">
      <c r="A134" s="42"/>
      <c r="B134" s="26">
        <v>50</v>
      </c>
      <c r="C134" s="32" t="s">
        <v>529</v>
      </c>
      <c r="D134" s="32" t="s">
        <v>530</v>
      </c>
      <c r="E134" s="32" t="s">
        <v>531</v>
      </c>
      <c r="F134" s="32" t="s">
        <v>532</v>
      </c>
      <c r="G134" s="30" t="e">
        <f t="shared" si="4"/>
        <v>#VALUE!</v>
      </c>
      <c r="H134" s="30" t="e">
        <f t="shared" si="5"/>
        <v>#VALUE!</v>
      </c>
      <c r="I134" s="40"/>
      <c r="J134" s="18"/>
      <c r="K134" s="18"/>
      <c r="L134" s="18"/>
      <c r="M134" s="18"/>
      <c r="N134" s="18"/>
      <c r="O134" s="18"/>
    </row>
    <row r="135" spans="1:15" s="1" customFormat="1" ht="13.5" x14ac:dyDescent="0.2">
      <c r="A135" s="42"/>
      <c r="B135" s="26">
        <v>100</v>
      </c>
      <c r="C135" s="32" t="s">
        <v>533</v>
      </c>
      <c r="D135" s="32" t="s">
        <v>534</v>
      </c>
      <c r="E135" s="32" t="s">
        <v>535</v>
      </c>
      <c r="F135" s="32" t="s">
        <v>536</v>
      </c>
      <c r="G135" s="30" t="e">
        <f t="shared" si="4"/>
        <v>#VALUE!</v>
      </c>
      <c r="H135" s="30" t="e">
        <f t="shared" si="5"/>
        <v>#VALUE!</v>
      </c>
      <c r="I135" s="40"/>
      <c r="J135" s="18"/>
      <c r="K135" s="18"/>
      <c r="L135" s="18"/>
      <c r="M135" s="18"/>
      <c r="N135" s="18"/>
      <c r="O135" s="18"/>
    </row>
    <row r="136" spans="1:15" s="1" customFormat="1" ht="13.5" x14ac:dyDescent="0.2">
      <c r="A136" s="42"/>
      <c r="B136" s="27">
        <v>200</v>
      </c>
      <c r="C136" s="32" t="s">
        <v>537</v>
      </c>
      <c r="D136" s="32" t="s">
        <v>538</v>
      </c>
      <c r="E136" s="32" t="s">
        <v>539</v>
      </c>
      <c r="F136" s="32" t="s">
        <v>540</v>
      </c>
      <c r="G136" s="30" t="e">
        <f t="shared" si="4"/>
        <v>#VALUE!</v>
      </c>
      <c r="H136" s="30" t="e">
        <f t="shared" si="5"/>
        <v>#VALUE!</v>
      </c>
      <c r="I136" s="40"/>
      <c r="J136" s="18"/>
      <c r="K136" s="18"/>
      <c r="L136" s="18"/>
      <c r="M136" s="18"/>
      <c r="N136" s="18"/>
      <c r="O136" s="18"/>
    </row>
    <row r="137" spans="1:15" s="1" customFormat="1" ht="13.5" x14ac:dyDescent="0.2">
      <c r="A137" s="42"/>
      <c r="B137" s="27">
        <v>500</v>
      </c>
      <c r="C137" s="32" t="s">
        <v>541</v>
      </c>
      <c r="D137" s="32" t="s">
        <v>542</v>
      </c>
      <c r="E137" s="32" t="s">
        <v>543</v>
      </c>
      <c r="F137" s="32" t="s">
        <v>544</v>
      </c>
      <c r="G137" s="30" t="e">
        <f t="shared" si="4"/>
        <v>#VALUE!</v>
      </c>
      <c r="H137" s="30" t="e">
        <f t="shared" si="5"/>
        <v>#VALUE!</v>
      </c>
      <c r="I137" s="40"/>
      <c r="J137" s="18"/>
      <c r="K137" s="18"/>
      <c r="L137" s="18"/>
      <c r="M137" s="18"/>
      <c r="N137" s="18"/>
      <c r="O137" s="18"/>
    </row>
    <row r="138" spans="1:15" s="1" customFormat="1" ht="13.5" x14ac:dyDescent="0.2">
      <c r="A138" s="42"/>
      <c r="B138" s="27">
        <v>1000</v>
      </c>
      <c r="C138" s="32" t="s">
        <v>545</v>
      </c>
      <c r="D138" s="32" t="s">
        <v>546</v>
      </c>
      <c r="E138" s="32" t="s">
        <v>547</v>
      </c>
      <c r="F138" s="32" t="s">
        <v>548</v>
      </c>
      <c r="G138" s="30" t="e">
        <f t="shared" si="4"/>
        <v>#VALUE!</v>
      </c>
      <c r="H138" s="30" t="e">
        <f t="shared" si="5"/>
        <v>#VALUE!</v>
      </c>
      <c r="I138" s="41"/>
      <c r="J138" s="18"/>
      <c r="K138" s="18"/>
      <c r="L138" s="18"/>
      <c r="M138" s="18"/>
      <c r="N138" s="18"/>
      <c r="O138" s="18"/>
    </row>
    <row r="139" spans="1:15" s="2" customFormat="1" ht="5.25" customHeight="1" x14ac:dyDescent="0.2">
      <c r="A139" s="8"/>
      <c r="B139" s="8"/>
      <c r="C139" s="8"/>
      <c r="D139" s="8"/>
      <c r="E139" s="8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s="1" customFormat="1" ht="13.5" customHeight="1" x14ac:dyDescent="0.2">
      <c r="A140" s="61" t="s">
        <v>82</v>
      </c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</row>
    <row r="141" spans="1:15" s="1" customFormat="1" ht="6" customHeight="1" x14ac:dyDescent="0.2">
      <c r="A141" s="28"/>
      <c r="B141" s="28"/>
      <c r="C141" s="28"/>
      <c r="D141" s="28"/>
      <c r="E141" s="28"/>
      <c r="F141" s="28"/>
      <c r="G141" s="18"/>
      <c r="H141" s="18"/>
      <c r="I141" s="18"/>
      <c r="J141" s="18"/>
      <c r="K141" s="18"/>
      <c r="L141" s="18"/>
      <c r="M141" s="18"/>
      <c r="N141" s="18"/>
      <c r="O141" s="18"/>
    </row>
    <row r="142" spans="1:15" s="1" customFormat="1" ht="12.75" customHeight="1" x14ac:dyDescent="0.2">
      <c r="A142" s="38" t="s">
        <v>8</v>
      </c>
      <c r="B142" s="38" t="s">
        <v>0</v>
      </c>
      <c r="C142" s="38"/>
      <c r="D142" s="38" t="s">
        <v>1</v>
      </c>
      <c r="E142" s="38" t="s">
        <v>46</v>
      </c>
      <c r="F142" s="38"/>
      <c r="G142" s="38" t="s">
        <v>47</v>
      </c>
      <c r="H142" s="38"/>
      <c r="I142" s="38" t="s">
        <v>48</v>
      </c>
      <c r="J142" s="38"/>
      <c r="K142" s="38" t="s">
        <v>49</v>
      </c>
      <c r="L142" s="38"/>
      <c r="M142" s="38" t="s">
        <v>38</v>
      </c>
      <c r="N142" s="38"/>
      <c r="O142" s="38" t="s">
        <v>16</v>
      </c>
    </row>
    <row r="143" spans="1:15" s="1" customFormat="1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</row>
    <row r="144" spans="1:15" s="1" customFormat="1" ht="37.5" customHeight="1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 spans="1:15" s="1" customFormat="1" ht="13.5" x14ac:dyDescent="0.2">
      <c r="A145" s="39">
        <v>1</v>
      </c>
      <c r="B145" s="42">
        <v>5</v>
      </c>
      <c r="C145" s="42"/>
      <c r="D145" s="11" t="s">
        <v>18</v>
      </c>
      <c r="E145" s="48" t="s">
        <v>549</v>
      </c>
      <c r="F145" s="48"/>
      <c r="G145" s="48" t="s">
        <v>550</v>
      </c>
      <c r="H145" s="48"/>
      <c r="I145" s="48" t="s">
        <v>551</v>
      </c>
      <c r="J145" s="48"/>
      <c r="K145" s="48" t="s">
        <v>552</v>
      </c>
      <c r="L145" s="48"/>
      <c r="M145" s="47" t="e">
        <f>((I145-K145)/(E145-G145)-1)*75</f>
        <v>#VALUE!</v>
      </c>
      <c r="N145" s="47"/>
      <c r="O145" s="39" t="s">
        <v>17</v>
      </c>
    </row>
    <row r="146" spans="1:15" s="1" customFormat="1" ht="13.5" x14ac:dyDescent="0.2">
      <c r="A146" s="40"/>
      <c r="B146" s="42">
        <v>10</v>
      </c>
      <c r="C146" s="42"/>
      <c r="D146" s="11" t="s">
        <v>19</v>
      </c>
      <c r="E146" s="48" t="s">
        <v>553</v>
      </c>
      <c r="F146" s="48"/>
      <c r="G146" s="48" t="s">
        <v>554</v>
      </c>
      <c r="H146" s="48"/>
      <c r="I146" s="48" t="s">
        <v>555</v>
      </c>
      <c r="J146" s="48"/>
      <c r="K146" s="48" t="s">
        <v>556</v>
      </c>
      <c r="L146" s="48"/>
      <c r="M146" s="47" t="e">
        <f t="shared" ref="M146:M154" si="6">((I146-K146)/(E146-G146)-1)*75</f>
        <v>#VALUE!</v>
      </c>
      <c r="N146" s="47"/>
      <c r="O146" s="40"/>
    </row>
    <row r="147" spans="1:15" s="1" customFormat="1" ht="13.5" x14ac:dyDescent="0.2">
      <c r="A147" s="40"/>
      <c r="B147" s="42">
        <v>20</v>
      </c>
      <c r="C147" s="42"/>
      <c r="D147" s="11" t="s">
        <v>9</v>
      </c>
      <c r="E147" s="48" t="s">
        <v>557</v>
      </c>
      <c r="F147" s="48"/>
      <c r="G147" s="48" t="s">
        <v>558</v>
      </c>
      <c r="H147" s="48"/>
      <c r="I147" s="48" t="s">
        <v>559</v>
      </c>
      <c r="J147" s="48"/>
      <c r="K147" s="48" t="s">
        <v>560</v>
      </c>
      <c r="L147" s="48"/>
      <c r="M147" s="47" t="e">
        <f t="shared" si="6"/>
        <v>#VALUE!</v>
      </c>
      <c r="N147" s="47"/>
      <c r="O147" s="40"/>
    </row>
    <row r="148" spans="1:15" s="1" customFormat="1" ht="13.5" x14ac:dyDescent="0.2">
      <c r="A148" s="40"/>
      <c r="B148" s="42">
        <v>50</v>
      </c>
      <c r="C148" s="42"/>
      <c r="D148" s="11" t="s">
        <v>10</v>
      </c>
      <c r="E148" s="48" t="s">
        <v>561</v>
      </c>
      <c r="F148" s="48"/>
      <c r="G148" s="48" t="s">
        <v>562</v>
      </c>
      <c r="H148" s="48"/>
      <c r="I148" s="48" t="s">
        <v>563</v>
      </c>
      <c r="J148" s="48"/>
      <c r="K148" s="48" t="s">
        <v>564</v>
      </c>
      <c r="L148" s="48"/>
      <c r="M148" s="47" t="e">
        <f t="shared" si="6"/>
        <v>#VALUE!</v>
      </c>
      <c r="N148" s="47"/>
      <c r="O148" s="40"/>
    </row>
    <row r="149" spans="1:15" s="1" customFormat="1" ht="13.5" x14ac:dyDescent="0.2">
      <c r="A149" s="40"/>
      <c r="B149" s="42">
        <v>100</v>
      </c>
      <c r="C149" s="42"/>
      <c r="D149" s="11" t="s">
        <v>11</v>
      </c>
      <c r="E149" s="48" t="s">
        <v>565</v>
      </c>
      <c r="F149" s="48"/>
      <c r="G149" s="48" t="s">
        <v>566</v>
      </c>
      <c r="H149" s="48"/>
      <c r="I149" s="48" t="s">
        <v>567</v>
      </c>
      <c r="J149" s="48"/>
      <c r="K149" s="48" t="s">
        <v>568</v>
      </c>
      <c r="L149" s="48"/>
      <c r="M149" s="47" t="e">
        <f t="shared" si="6"/>
        <v>#VALUE!</v>
      </c>
      <c r="N149" s="47"/>
      <c r="O149" s="40"/>
    </row>
    <row r="150" spans="1:15" s="1" customFormat="1" ht="13.5" x14ac:dyDescent="0.2">
      <c r="A150" s="41"/>
      <c r="B150" s="42">
        <v>200</v>
      </c>
      <c r="C150" s="42"/>
      <c r="D150" s="11" t="s">
        <v>12</v>
      </c>
      <c r="E150" s="48" t="s">
        <v>569</v>
      </c>
      <c r="F150" s="48"/>
      <c r="G150" s="48" t="s">
        <v>570</v>
      </c>
      <c r="H150" s="48"/>
      <c r="I150" s="48" t="s">
        <v>571</v>
      </c>
      <c r="J150" s="48"/>
      <c r="K150" s="48" t="s">
        <v>572</v>
      </c>
      <c r="L150" s="48"/>
      <c r="M150" s="47" t="e">
        <f t="shared" si="6"/>
        <v>#VALUE!</v>
      </c>
      <c r="N150" s="47"/>
      <c r="O150" s="41"/>
    </row>
    <row r="151" spans="1:15" s="1" customFormat="1" ht="12.75" customHeight="1" x14ac:dyDescent="0.2">
      <c r="A151" s="38" t="s">
        <v>8</v>
      </c>
      <c r="B151" s="38" t="s">
        <v>0</v>
      </c>
      <c r="C151" s="38"/>
      <c r="D151" s="38" t="s">
        <v>1</v>
      </c>
      <c r="E151" s="38" t="s">
        <v>36</v>
      </c>
      <c r="F151" s="38"/>
      <c r="G151" s="38" t="s">
        <v>37</v>
      </c>
      <c r="H151" s="38"/>
      <c r="I151" s="38" t="s">
        <v>14</v>
      </c>
      <c r="J151" s="38"/>
      <c r="K151" s="38" t="s">
        <v>15</v>
      </c>
      <c r="L151" s="38"/>
      <c r="M151" s="38" t="s">
        <v>38</v>
      </c>
      <c r="N151" s="38"/>
      <c r="O151" s="38" t="s">
        <v>16</v>
      </c>
    </row>
    <row r="152" spans="1:15" s="1" customFormat="1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 spans="1:15" s="1" customFormat="1" ht="29.25" customHeight="1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 spans="1:15" s="1" customFormat="1" ht="13.5" x14ac:dyDescent="0.2">
      <c r="A154" s="39">
        <v>1</v>
      </c>
      <c r="B154" s="42">
        <v>500</v>
      </c>
      <c r="C154" s="42"/>
      <c r="D154" s="11" t="s">
        <v>13</v>
      </c>
      <c r="E154" s="48" t="s">
        <v>573</v>
      </c>
      <c r="F154" s="48"/>
      <c r="G154" s="48" t="s">
        <v>574</v>
      </c>
      <c r="H154" s="48"/>
      <c r="I154" s="48" t="s">
        <v>575</v>
      </c>
      <c r="J154" s="48"/>
      <c r="K154" s="48" t="s">
        <v>576</v>
      </c>
      <c r="L154" s="48"/>
      <c r="M154" s="47" t="e">
        <f t="shared" si="6"/>
        <v>#VALUE!</v>
      </c>
      <c r="N154" s="47"/>
      <c r="O154" s="39" t="s">
        <v>17</v>
      </c>
    </row>
    <row r="155" spans="1:15" s="1" customFormat="1" ht="13.5" x14ac:dyDescent="0.2">
      <c r="A155" s="41"/>
      <c r="B155" s="42" t="s">
        <v>68</v>
      </c>
      <c r="C155" s="42"/>
      <c r="D155" s="11" t="s">
        <v>23</v>
      </c>
      <c r="E155" s="48" t="s">
        <v>577</v>
      </c>
      <c r="F155" s="48"/>
      <c r="G155" s="48" t="s">
        <v>578</v>
      </c>
      <c r="H155" s="48"/>
      <c r="I155" s="48" t="s">
        <v>579</v>
      </c>
      <c r="J155" s="48"/>
      <c r="K155" s="48" t="s">
        <v>580</v>
      </c>
      <c r="L155" s="48"/>
      <c r="M155" s="47" t="e">
        <f>((I155-K155)/(E155-G155)-1)*60</f>
        <v>#VALUE!</v>
      </c>
      <c r="N155" s="47"/>
      <c r="O155" s="40"/>
    </row>
    <row r="156" spans="1:15" s="1" customFormat="1" ht="13.5" x14ac:dyDescent="0.2">
      <c r="A156" s="39">
        <v>2</v>
      </c>
      <c r="B156" s="42">
        <v>5</v>
      </c>
      <c r="C156" s="42"/>
      <c r="D156" s="11" t="s">
        <v>18</v>
      </c>
      <c r="E156" s="48" t="s">
        <v>581</v>
      </c>
      <c r="F156" s="48"/>
      <c r="G156" s="48" t="s">
        <v>582</v>
      </c>
      <c r="H156" s="48"/>
      <c r="I156" s="48" t="s">
        <v>583</v>
      </c>
      <c r="J156" s="48"/>
      <c r="K156" s="48" t="s">
        <v>584</v>
      </c>
      <c r="L156" s="48"/>
      <c r="M156" s="56" t="e">
        <f>((I156-K156)/(E156-G156)-1)*75</f>
        <v>#VALUE!</v>
      </c>
      <c r="N156" s="57"/>
      <c r="O156" s="40"/>
    </row>
    <row r="157" spans="1:15" s="1" customFormat="1" ht="13.5" x14ac:dyDescent="0.2">
      <c r="A157" s="40"/>
      <c r="B157" s="42">
        <v>10</v>
      </c>
      <c r="C157" s="42"/>
      <c r="D157" s="11" t="s">
        <v>19</v>
      </c>
      <c r="E157" s="48" t="s">
        <v>585</v>
      </c>
      <c r="F157" s="48"/>
      <c r="G157" s="48" t="s">
        <v>586</v>
      </c>
      <c r="H157" s="48"/>
      <c r="I157" s="48" t="s">
        <v>587</v>
      </c>
      <c r="J157" s="48"/>
      <c r="K157" s="48" t="s">
        <v>588</v>
      </c>
      <c r="L157" s="48"/>
      <c r="M157" s="56" t="e">
        <f t="shared" ref="M157:M162" si="7">((I157-K157)/(E157-G157)-1)*75</f>
        <v>#VALUE!</v>
      </c>
      <c r="N157" s="57"/>
      <c r="O157" s="40"/>
    </row>
    <row r="158" spans="1:15" s="1" customFormat="1" ht="13.5" x14ac:dyDescent="0.2">
      <c r="A158" s="40"/>
      <c r="B158" s="42">
        <v>20</v>
      </c>
      <c r="C158" s="42"/>
      <c r="D158" s="11" t="s">
        <v>9</v>
      </c>
      <c r="E158" s="48" t="s">
        <v>589</v>
      </c>
      <c r="F158" s="48"/>
      <c r="G158" s="48" t="s">
        <v>590</v>
      </c>
      <c r="H158" s="48"/>
      <c r="I158" s="48" t="s">
        <v>591</v>
      </c>
      <c r="J158" s="48"/>
      <c r="K158" s="48" t="s">
        <v>592</v>
      </c>
      <c r="L158" s="48"/>
      <c r="M158" s="56" t="e">
        <f t="shared" si="7"/>
        <v>#VALUE!</v>
      </c>
      <c r="N158" s="57"/>
      <c r="O158" s="40"/>
    </row>
    <row r="159" spans="1:15" s="1" customFormat="1" ht="13.5" x14ac:dyDescent="0.2">
      <c r="A159" s="40"/>
      <c r="B159" s="42">
        <v>50</v>
      </c>
      <c r="C159" s="42"/>
      <c r="D159" s="11" t="s">
        <v>10</v>
      </c>
      <c r="E159" s="48" t="s">
        <v>593</v>
      </c>
      <c r="F159" s="48"/>
      <c r="G159" s="48" t="s">
        <v>594</v>
      </c>
      <c r="H159" s="48"/>
      <c r="I159" s="48" t="s">
        <v>595</v>
      </c>
      <c r="J159" s="48"/>
      <c r="K159" s="48" t="s">
        <v>596</v>
      </c>
      <c r="L159" s="48"/>
      <c r="M159" s="56" t="e">
        <f t="shared" si="7"/>
        <v>#VALUE!</v>
      </c>
      <c r="N159" s="57"/>
      <c r="O159" s="40"/>
    </row>
    <row r="160" spans="1:15" s="1" customFormat="1" ht="13.5" x14ac:dyDescent="0.2">
      <c r="A160" s="40"/>
      <c r="B160" s="42">
        <v>100</v>
      </c>
      <c r="C160" s="42"/>
      <c r="D160" s="11" t="s">
        <v>11</v>
      </c>
      <c r="E160" s="48" t="s">
        <v>597</v>
      </c>
      <c r="F160" s="48"/>
      <c r="G160" s="48" t="s">
        <v>598</v>
      </c>
      <c r="H160" s="48"/>
      <c r="I160" s="48" t="s">
        <v>599</v>
      </c>
      <c r="J160" s="48"/>
      <c r="K160" s="48" t="s">
        <v>600</v>
      </c>
      <c r="L160" s="48"/>
      <c r="M160" s="56" t="e">
        <f t="shared" si="7"/>
        <v>#VALUE!</v>
      </c>
      <c r="N160" s="57"/>
      <c r="O160" s="40"/>
    </row>
    <row r="161" spans="1:15" s="1" customFormat="1" ht="13.5" x14ac:dyDescent="0.2">
      <c r="A161" s="40"/>
      <c r="B161" s="42">
        <v>200</v>
      </c>
      <c r="C161" s="42"/>
      <c r="D161" s="11" t="s">
        <v>12</v>
      </c>
      <c r="E161" s="48" t="s">
        <v>601</v>
      </c>
      <c r="F161" s="48"/>
      <c r="G161" s="48" t="s">
        <v>602</v>
      </c>
      <c r="H161" s="48"/>
      <c r="I161" s="48" t="s">
        <v>603</v>
      </c>
      <c r="J161" s="48"/>
      <c r="K161" s="48" t="s">
        <v>604</v>
      </c>
      <c r="L161" s="48"/>
      <c r="M161" s="56" t="e">
        <f t="shared" si="7"/>
        <v>#VALUE!</v>
      </c>
      <c r="N161" s="57"/>
      <c r="O161" s="40"/>
    </row>
    <row r="162" spans="1:15" s="1" customFormat="1" ht="13.5" x14ac:dyDescent="0.2">
      <c r="A162" s="40"/>
      <c r="B162" s="42">
        <v>500</v>
      </c>
      <c r="C162" s="42"/>
      <c r="D162" s="11" t="s">
        <v>13</v>
      </c>
      <c r="E162" s="48" t="s">
        <v>605</v>
      </c>
      <c r="F162" s="48"/>
      <c r="G162" s="48" t="s">
        <v>606</v>
      </c>
      <c r="H162" s="48"/>
      <c r="I162" s="48" t="s">
        <v>607</v>
      </c>
      <c r="J162" s="48"/>
      <c r="K162" s="48" t="s">
        <v>608</v>
      </c>
      <c r="L162" s="48"/>
      <c r="M162" s="47" t="e">
        <f t="shared" si="7"/>
        <v>#VALUE!</v>
      </c>
      <c r="N162" s="47"/>
      <c r="O162" s="40"/>
    </row>
    <row r="163" spans="1:15" s="1" customFormat="1" ht="13.5" x14ac:dyDescent="0.2">
      <c r="A163" s="41"/>
      <c r="B163" s="42" t="s">
        <v>68</v>
      </c>
      <c r="C163" s="42"/>
      <c r="D163" s="11" t="s">
        <v>23</v>
      </c>
      <c r="E163" s="48" t="s">
        <v>609</v>
      </c>
      <c r="F163" s="48"/>
      <c r="G163" s="48" t="s">
        <v>610</v>
      </c>
      <c r="H163" s="48"/>
      <c r="I163" s="48" t="s">
        <v>611</v>
      </c>
      <c r="J163" s="48"/>
      <c r="K163" s="48" t="s">
        <v>612</v>
      </c>
      <c r="L163" s="48"/>
      <c r="M163" s="47" t="e">
        <f>((I163-K163)/(E163-G163)-1)*60</f>
        <v>#VALUE!</v>
      </c>
      <c r="N163" s="47"/>
      <c r="O163" s="40"/>
    </row>
    <row r="164" spans="1:15" s="1" customFormat="1" ht="13.5" x14ac:dyDescent="0.2">
      <c r="A164" s="42">
        <v>3</v>
      </c>
      <c r="B164" s="42">
        <v>5</v>
      </c>
      <c r="C164" s="42"/>
      <c r="D164" s="11" t="s">
        <v>18</v>
      </c>
      <c r="E164" s="48" t="s">
        <v>613</v>
      </c>
      <c r="F164" s="48"/>
      <c r="G164" s="48" t="s">
        <v>614</v>
      </c>
      <c r="H164" s="48"/>
      <c r="I164" s="48" t="s">
        <v>615</v>
      </c>
      <c r="J164" s="48"/>
      <c r="K164" s="48" t="s">
        <v>616</v>
      </c>
      <c r="L164" s="48"/>
      <c r="M164" s="47" t="e">
        <f>((I164-K164)/(E164-G164)-1)*75</f>
        <v>#VALUE!</v>
      </c>
      <c r="N164" s="47"/>
      <c r="O164" s="40"/>
    </row>
    <row r="165" spans="1:15" s="1" customFormat="1" ht="13.5" x14ac:dyDescent="0.2">
      <c r="A165" s="42"/>
      <c r="B165" s="42">
        <v>10</v>
      </c>
      <c r="C165" s="42"/>
      <c r="D165" s="11" t="s">
        <v>19</v>
      </c>
      <c r="E165" s="48" t="s">
        <v>617</v>
      </c>
      <c r="F165" s="48"/>
      <c r="G165" s="48" t="s">
        <v>618</v>
      </c>
      <c r="H165" s="48"/>
      <c r="I165" s="48" t="s">
        <v>619</v>
      </c>
      <c r="J165" s="48"/>
      <c r="K165" s="48" t="s">
        <v>620</v>
      </c>
      <c r="L165" s="48"/>
      <c r="M165" s="47" t="e">
        <f t="shared" ref="M165:M170" si="8">((I165-K165)/(E165-G165)-1)*75</f>
        <v>#VALUE!</v>
      </c>
      <c r="N165" s="47"/>
      <c r="O165" s="40"/>
    </row>
    <row r="166" spans="1:15" s="1" customFormat="1" ht="13.5" x14ac:dyDescent="0.2">
      <c r="A166" s="42"/>
      <c r="B166" s="42">
        <v>20</v>
      </c>
      <c r="C166" s="42"/>
      <c r="D166" s="11" t="s">
        <v>9</v>
      </c>
      <c r="E166" s="48" t="s">
        <v>621</v>
      </c>
      <c r="F166" s="48"/>
      <c r="G166" s="48" t="s">
        <v>622</v>
      </c>
      <c r="H166" s="48"/>
      <c r="I166" s="48" t="s">
        <v>623</v>
      </c>
      <c r="J166" s="48"/>
      <c r="K166" s="48" t="s">
        <v>624</v>
      </c>
      <c r="L166" s="48"/>
      <c r="M166" s="47" t="e">
        <f t="shared" si="8"/>
        <v>#VALUE!</v>
      </c>
      <c r="N166" s="47"/>
      <c r="O166" s="40"/>
    </row>
    <row r="167" spans="1:15" s="1" customFormat="1" ht="13.5" x14ac:dyDescent="0.2">
      <c r="A167" s="42"/>
      <c r="B167" s="42">
        <v>50</v>
      </c>
      <c r="C167" s="42"/>
      <c r="D167" s="11" t="s">
        <v>10</v>
      </c>
      <c r="E167" s="48" t="s">
        <v>625</v>
      </c>
      <c r="F167" s="48"/>
      <c r="G167" s="48" t="s">
        <v>626</v>
      </c>
      <c r="H167" s="48"/>
      <c r="I167" s="48" t="s">
        <v>627</v>
      </c>
      <c r="J167" s="48"/>
      <c r="K167" s="48" t="s">
        <v>628</v>
      </c>
      <c r="L167" s="48"/>
      <c r="M167" s="47" t="e">
        <f t="shared" si="8"/>
        <v>#VALUE!</v>
      </c>
      <c r="N167" s="47"/>
      <c r="O167" s="40"/>
    </row>
    <row r="168" spans="1:15" s="1" customFormat="1" ht="13.5" x14ac:dyDescent="0.2">
      <c r="A168" s="42"/>
      <c r="B168" s="42">
        <v>100</v>
      </c>
      <c r="C168" s="42"/>
      <c r="D168" s="11" t="s">
        <v>11</v>
      </c>
      <c r="E168" s="48" t="s">
        <v>629</v>
      </c>
      <c r="F168" s="48"/>
      <c r="G168" s="48" t="s">
        <v>630</v>
      </c>
      <c r="H168" s="48"/>
      <c r="I168" s="48" t="s">
        <v>631</v>
      </c>
      <c r="J168" s="48"/>
      <c r="K168" s="48" t="s">
        <v>632</v>
      </c>
      <c r="L168" s="48"/>
      <c r="M168" s="47" t="e">
        <f t="shared" si="8"/>
        <v>#VALUE!</v>
      </c>
      <c r="N168" s="47"/>
      <c r="O168" s="40"/>
    </row>
    <row r="169" spans="1:15" s="1" customFormat="1" ht="13.5" x14ac:dyDescent="0.2">
      <c r="A169" s="42"/>
      <c r="B169" s="42">
        <v>200</v>
      </c>
      <c r="C169" s="42"/>
      <c r="D169" s="11" t="s">
        <v>12</v>
      </c>
      <c r="E169" s="48" t="s">
        <v>633</v>
      </c>
      <c r="F169" s="48"/>
      <c r="G169" s="48" t="s">
        <v>634</v>
      </c>
      <c r="H169" s="48"/>
      <c r="I169" s="48" t="s">
        <v>635</v>
      </c>
      <c r="J169" s="48"/>
      <c r="K169" s="48" t="s">
        <v>636</v>
      </c>
      <c r="L169" s="48"/>
      <c r="M169" s="47" t="e">
        <f t="shared" si="8"/>
        <v>#VALUE!</v>
      </c>
      <c r="N169" s="47"/>
      <c r="O169" s="40"/>
    </row>
    <row r="170" spans="1:15" s="1" customFormat="1" ht="13.5" x14ac:dyDescent="0.2">
      <c r="A170" s="42"/>
      <c r="B170" s="42">
        <v>500</v>
      </c>
      <c r="C170" s="42"/>
      <c r="D170" s="11" t="s">
        <v>13</v>
      </c>
      <c r="E170" s="48" t="s">
        <v>637</v>
      </c>
      <c r="F170" s="48"/>
      <c r="G170" s="48" t="s">
        <v>638</v>
      </c>
      <c r="H170" s="48"/>
      <c r="I170" s="48" t="s">
        <v>639</v>
      </c>
      <c r="J170" s="48"/>
      <c r="K170" s="48" t="s">
        <v>640</v>
      </c>
      <c r="L170" s="48"/>
      <c r="M170" s="47" t="e">
        <f t="shared" si="8"/>
        <v>#VALUE!</v>
      </c>
      <c r="N170" s="47"/>
      <c r="O170" s="40"/>
    </row>
    <row r="171" spans="1:15" s="1" customFormat="1" ht="13.5" x14ac:dyDescent="0.2">
      <c r="A171" s="42"/>
      <c r="B171" s="42" t="s">
        <v>68</v>
      </c>
      <c r="C171" s="42"/>
      <c r="D171" s="11" t="s">
        <v>23</v>
      </c>
      <c r="E171" s="48" t="s">
        <v>641</v>
      </c>
      <c r="F171" s="48"/>
      <c r="G171" s="48" t="s">
        <v>642</v>
      </c>
      <c r="H171" s="48"/>
      <c r="I171" s="48" t="s">
        <v>643</v>
      </c>
      <c r="J171" s="48"/>
      <c r="K171" s="48" t="s">
        <v>644</v>
      </c>
      <c r="L171" s="48"/>
      <c r="M171" s="47" t="e">
        <f>((I171-K171)/(E171-G171)-1)*60</f>
        <v>#VALUE!</v>
      </c>
      <c r="N171" s="47"/>
      <c r="O171" s="40"/>
    </row>
    <row r="172" spans="1:15" s="1" customFormat="1" ht="13.5" x14ac:dyDescent="0.2">
      <c r="A172" s="42">
        <v>4</v>
      </c>
      <c r="B172" s="42">
        <v>5</v>
      </c>
      <c r="C172" s="42"/>
      <c r="D172" s="11" t="s">
        <v>18</v>
      </c>
      <c r="E172" s="48" t="s">
        <v>645</v>
      </c>
      <c r="F172" s="48"/>
      <c r="G172" s="48" t="s">
        <v>646</v>
      </c>
      <c r="H172" s="48"/>
      <c r="I172" s="48" t="s">
        <v>647</v>
      </c>
      <c r="J172" s="48"/>
      <c r="K172" s="48" t="s">
        <v>648</v>
      </c>
      <c r="L172" s="48"/>
      <c r="M172" s="47" t="e">
        <f>((I172-K172)/(E172-G172)-1)*75</f>
        <v>#VALUE!</v>
      </c>
      <c r="N172" s="47"/>
      <c r="O172" s="40"/>
    </row>
    <row r="173" spans="1:15" s="1" customFormat="1" ht="13.5" x14ac:dyDescent="0.2">
      <c r="A173" s="42"/>
      <c r="B173" s="42">
        <v>10</v>
      </c>
      <c r="C173" s="42"/>
      <c r="D173" s="11" t="s">
        <v>19</v>
      </c>
      <c r="E173" s="48" t="s">
        <v>649</v>
      </c>
      <c r="F173" s="48"/>
      <c r="G173" s="48" t="s">
        <v>650</v>
      </c>
      <c r="H173" s="48"/>
      <c r="I173" s="48" t="s">
        <v>651</v>
      </c>
      <c r="J173" s="48"/>
      <c r="K173" s="48" t="s">
        <v>652</v>
      </c>
      <c r="L173" s="48"/>
      <c r="M173" s="47" t="e">
        <f t="shared" ref="M173:M178" si="9">((I173-K173)/(E173-G173)-1)*75</f>
        <v>#VALUE!</v>
      </c>
      <c r="N173" s="47"/>
      <c r="O173" s="40"/>
    </row>
    <row r="174" spans="1:15" s="1" customFormat="1" ht="13.5" x14ac:dyDescent="0.2">
      <c r="A174" s="42"/>
      <c r="B174" s="42">
        <v>20</v>
      </c>
      <c r="C174" s="42"/>
      <c r="D174" s="11" t="s">
        <v>9</v>
      </c>
      <c r="E174" s="48" t="s">
        <v>653</v>
      </c>
      <c r="F174" s="48"/>
      <c r="G174" s="48" t="s">
        <v>654</v>
      </c>
      <c r="H174" s="48"/>
      <c r="I174" s="48" t="s">
        <v>655</v>
      </c>
      <c r="J174" s="48"/>
      <c r="K174" s="48" t="s">
        <v>656</v>
      </c>
      <c r="L174" s="48"/>
      <c r="M174" s="47" t="e">
        <f t="shared" si="9"/>
        <v>#VALUE!</v>
      </c>
      <c r="N174" s="47"/>
      <c r="O174" s="40"/>
    </row>
    <row r="175" spans="1:15" s="1" customFormat="1" ht="13.5" x14ac:dyDescent="0.2">
      <c r="A175" s="42"/>
      <c r="B175" s="42">
        <v>50</v>
      </c>
      <c r="C175" s="42"/>
      <c r="D175" s="11" t="s">
        <v>10</v>
      </c>
      <c r="E175" s="48" t="s">
        <v>657</v>
      </c>
      <c r="F175" s="48"/>
      <c r="G175" s="48" t="s">
        <v>658</v>
      </c>
      <c r="H175" s="48"/>
      <c r="I175" s="48" t="s">
        <v>659</v>
      </c>
      <c r="J175" s="48"/>
      <c r="K175" s="48" t="s">
        <v>660</v>
      </c>
      <c r="L175" s="48"/>
      <c r="M175" s="47" t="e">
        <f t="shared" si="9"/>
        <v>#VALUE!</v>
      </c>
      <c r="N175" s="47"/>
      <c r="O175" s="40"/>
    </row>
    <row r="176" spans="1:15" s="1" customFormat="1" ht="13.5" x14ac:dyDescent="0.2">
      <c r="A176" s="42"/>
      <c r="B176" s="42">
        <v>100</v>
      </c>
      <c r="C176" s="42"/>
      <c r="D176" s="11" t="s">
        <v>11</v>
      </c>
      <c r="E176" s="48" t="s">
        <v>661</v>
      </c>
      <c r="F176" s="48"/>
      <c r="G176" s="48" t="s">
        <v>662</v>
      </c>
      <c r="H176" s="48"/>
      <c r="I176" s="48" t="s">
        <v>663</v>
      </c>
      <c r="J176" s="48"/>
      <c r="K176" s="48" t="s">
        <v>664</v>
      </c>
      <c r="L176" s="48"/>
      <c r="M176" s="47" t="e">
        <f t="shared" si="9"/>
        <v>#VALUE!</v>
      </c>
      <c r="N176" s="47"/>
      <c r="O176" s="40"/>
    </row>
    <row r="177" spans="1:15" s="1" customFormat="1" ht="13.5" x14ac:dyDescent="0.2">
      <c r="A177" s="42"/>
      <c r="B177" s="42">
        <v>200</v>
      </c>
      <c r="C177" s="42"/>
      <c r="D177" s="11" t="s">
        <v>12</v>
      </c>
      <c r="E177" s="48" t="s">
        <v>665</v>
      </c>
      <c r="F177" s="48"/>
      <c r="G177" s="48" t="s">
        <v>666</v>
      </c>
      <c r="H177" s="48"/>
      <c r="I177" s="48" t="s">
        <v>667</v>
      </c>
      <c r="J177" s="48"/>
      <c r="K177" s="48" t="s">
        <v>668</v>
      </c>
      <c r="L177" s="48"/>
      <c r="M177" s="47" t="e">
        <f t="shared" si="9"/>
        <v>#VALUE!</v>
      </c>
      <c r="N177" s="47"/>
      <c r="O177" s="40"/>
    </row>
    <row r="178" spans="1:15" s="1" customFormat="1" ht="13.5" x14ac:dyDescent="0.2">
      <c r="A178" s="42"/>
      <c r="B178" s="42">
        <v>500</v>
      </c>
      <c r="C178" s="42"/>
      <c r="D178" s="11" t="s">
        <v>13</v>
      </c>
      <c r="E178" s="48" t="s">
        <v>669</v>
      </c>
      <c r="F178" s="48"/>
      <c r="G178" s="48" t="s">
        <v>670</v>
      </c>
      <c r="H178" s="48"/>
      <c r="I178" s="48" t="s">
        <v>671</v>
      </c>
      <c r="J178" s="48"/>
      <c r="K178" s="48" t="s">
        <v>672</v>
      </c>
      <c r="L178" s="48"/>
      <c r="M178" s="47" t="e">
        <f t="shared" si="9"/>
        <v>#VALUE!</v>
      </c>
      <c r="N178" s="47"/>
      <c r="O178" s="40"/>
    </row>
    <row r="179" spans="1:15" s="1" customFormat="1" ht="13.5" x14ac:dyDescent="0.2">
      <c r="A179" s="42"/>
      <c r="B179" s="42" t="s">
        <v>68</v>
      </c>
      <c r="C179" s="42"/>
      <c r="D179" s="11" t="s">
        <v>23</v>
      </c>
      <c r="E179" s="48" t="s">
        <v>673</v>
      </c>
      <c r="F179" s="48"/>
      <c r="G179" s="48" t="s">
        <v>674</v>
      </c>
      <c r="H179" s="48"/>
      <c r="I179" s="48" t="s">
        <v>675</v>
      </c>
      <c r="J179" s="48"/>
      <c r="K179" s="48" t="s">
        <v>676</v>
      </c>
      <c r="L179" s="48"/>
      <c r="M179" s="47" t="e">
        <f>((I179-K179)/(E179-G179)-1)*60</f>
        <v>#VALUE!</v>
      </c>
      <c r="N179" s="47"/>
      <c r="O179" s="41"/>
    </row>
    <row r="180" spans="1:15" s="1" customFormat="1" ht="6" customHeigh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</row>
    <row r="181" spans="1:15" s="1" customFormat="1" ht="12.75" customHeight="1" x14ac:dyDescent="0.2">
      <c r="A181" s="61" t="s">
        <v>83</v>
      </c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18"/>
      <c r="O181" s="18"/>
    </row>
    <row r="182" spans="1:15" s="1" customFormat="1" ht="6" customHeigh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</row>
    <row r="183" spans="1:15" s="1" customFormat="1" ht="33.75" customHeight="1" x14ac:dyDescent="0.2">
      <c r="A183" s="44" t="s">
        <v>84</v>
      </c>
      <c r="B183" s="46"/>
      <c r="C183" s="42" t="s">
        <v>86</v>
      </c>
      <c r="D183" s="42"/>
      <c r="E183" s="38" t="s">
        <v>16</v>
      </c>
      <c r="F183" s="38"/>
      <c r="G183" s="18"/>
      <c r="H183" s="18"/>
      <c r="I183" s="18"/>
      <c r="J183" s="18"/>
      <c r="K183" s="18"/>
      <c r="L183" s="18"/>
      <c r="M183" s="18"/>
      <c r="N183" s="18"/>
      <c r="O183" s="18"/>
    </row>
    <row r="184" spans="1:15" s="1" customFormat="1" ht="15" customHeight="1" x14ac:dyDescent="0.2">
      <c r="A184" s="62">
        <v>10000004.859999999</v>
      </c>
      <c r="B184" s="62"/>
      <c r="C184" s="63" t="s">
        <v>92</v>
      </c>
      <c r="D184" s="43"/>
      <c r="E184" s="38" t="s">
        <v>85</v>
      </c>
      <c r="F184" s="38"/>
      <c r="G184" s="18"/>
      <c r="H184" s="18"/>
      <c r="I184" s="18"/>
      <c r="J184" s="18"/>
      <c r="K184" s="18"/>
      <c r="L184" s="18"/>
      <c r="M184" s="18"/>
      <c r="N184" s="18"/>
      <c r="O184" s="18"/>
    </row>
    <row r="185" spans="1:15" s="1" customFormat="1" ht="4.5" customHeight="1" x14ac:dyDescent="0.2">
      <c r="A185" s="18"/>
      <c r="B185" s="18"/>
      <c r="C185" s="18"/>
      <c r="D185" s="18"/>
      <c r="E185" s="29"/>
      <c r="F185" s="18"/>
      <c r="G185" s="18"/>
      <c r="H185" s="18"/>
      <c r="I185" s="18"/>
      <c r="J185" s="18"/>
      <c r="K185" s="18"/>
      <c r="L185" s="18"/>
      <c r="M185" s="18"/>
      <c r="N185" s="18"/>
      <c r="O185" s="18"/>
    </row>
    <row r="186" spans="1:15" ht="14.25" customHeight="1" x14ac:dyDescent="0.25">
      <c r="A186" s="18" t="s">
        <v>43</v>
      </c>
      <c r="B186" s="33"/>
      <c r="C186" s="33"/>
      <c r="D186" s="33"/>
      <c r="E186" s="33"/>
      <c r="F186" s="33"/>
      <c r="G186" s="1"/>
      <c r="H186" s="1"/>
      <c r="I186" s="1"/>
      <c r="J186" s="1"/>
    </row>
    <row r="187" spans="1:15" ht="14.25" customHeight="1" x14ac:dyDescent="0.25">
      <c r="A187" s="33"/>
      <c r="B187" s="34"/>
      <c r="C187" s="1"/>
      <c r="D187" s="1"/>
      <c r="E187" s="67" t="s">
        <v>95</v>
      </c>
      <c r="F187" s="67"/>
      <c r="G187" s="68" t="s">
        <v>96</v>
      </c>
      <c r="H187" s="68"/>
      <c r="I187" s="1"/>
      <c r="J187" s="1"/>
    </row>
    <row r="188" spans="1:15" ht="14.25" customHeight="1" x14ac:dyDescent="0.25">
      <c r="A188" s="67" t="s">
        <v>97</v>
      </c>
      <c r="B188" s="67"/>
      <c r="C188" s="35"/>
      <c r="D188" s="36" t="s">
        <v>98</v>
      </c>
      <c r="E188" s="69" t="s">
        <v>99</v>
      </c>
      <c r="F188" s="70"/>
      <c r="G188" s="37" t="s">
        <v>100</v>
      </c>
    </row>
    <row r="189" spans="1:15" s="1" customFormat="1" x14ac:dyDescent="0.2"/>
    <row r="190" spans="1:15" s="1" customFormat="1" x14ac:dyDescent="0.2"/>
    <row r="191" spans="1:15" s="1" customFormat="1" x14ac:dyDescent="0.2">
      <c r="A191" s="18"/>
    </row>
    <row r="192" spans="1:15" s="1" customFormat="1" x14ac:dyDescent="0.2"/>
    <row r="193" s="1" customFormat="1" x14ac:dyDescent="0.2"/>
    <row r="194" s="1" customFormat="1" x14ac:dyDescent="0.2"/>
    <row r="195" s="1" customFormat="1" x14ac:dyDescent="0.2"/>
    <row r="196" s="1" customFormat="1" x14ac:dyDescent="0.2"/>
    <row r="197" s="1" customFormat="1" x14ac:dyDescent="0.2"/>
    <row r="198" s="1" customFormat="1" x14ac:dyDescent="0.2"/>
    <row r="199" s="1" customFormat="1" x14ac:dyDescent="0.2"/>
    <row r="200" s="1" customFormat="1" x14ac:dyDescent="0.2"/>
    <row r="201" s="1" customFormat="1" x14ac:dyDescent="0.2"/>
    <row r="202" s="1" customFormat="1" x14ac:dyDescent="0.2"/>
    <row r="203" s="1" customFormat="1" x14ac:dyDescent="0.2"/>
    <row r="204" s="1" customFormat="1" x14ac:dyDescent="0.2"/>
    <row r="205" s="1" customFormat="1" x14ac:dyDescent="0.2"/>
  </sheetData>
  <mergeCells count="581">
    <mergeCell ref="E187:F187"/>
    <mergeCell ref="G187:H187"/>
    <mergeCell ref="A188:B188"/>
    <mergeCell ref="E188:F188"/>
    <mergeCell ref="A115:A122"/>
    <mergeCell ref="B179:C179"/>
    <mergeCell ref="E179:F179"/>
    <mergeCell ref="G179:H179"/>
    <mergeCell ref="A123:A130"/>
    <mergeCell ref="E171:F171"/>
    <mergeCell ref="G171:H171"/>
    <mergeCell ref="E172:F172"/>
    <mergeCell ref="B177:C177"/>
    <mergeCell ref="A156:A163"/>
    <mergeCell ref="A142:A144"/>
    <mergeCell ref="D142:D144"/>
    <mergeCell ref="E142:F144"/>
    <mergeCell ref="G175:H175"/>
    <mergeCell ref="E174:F174"/>
    <mergeCell ref="E148:F148"/>
    <mergeCell ref="E154:F154"/>
    <mergeCell ref="E155:F155"/>
    <mergeCell ref="E164:F164"/>
    <mergeCell ref="E177:F177"/>
    <mergeCell ref="E170:F170"/>
    <mergeCell ref="G170:H170"/>
    <mergeCell ref="B142:C144"/>
    <mergeCell ref="B145:C145"/>
    <mergeCell ref="B146:C146"/>
    <mergeCell ref="B147:C147"/>
    <mergeCell ref="B148:C148"/>
    <mergeCell ref="G174:H174"/>
    <mergeCell ref="G172:H172"/>
    <mergeCell ref="E145:F145"/>
    <mergeCell ref="E146:F146"/>
    <mergeCell ref="E147:F147"/>
    <mergeCell ref="G149:H149"/>
    <mergeCell ref="G151:H153"/>
    <mergeCell ref="G156:H156"/>
    <mergeCell ref="G157:H157"/>
    <mergeCell ref="G158:H158"/>
    <mergeCell ref="G154:H154"/>
    <mergeCell ref="G142:H144"/>
    <mergeCell ref="B150:C150"/>
    <mergeCell ref="E149:F149"/>
    <mergeCell ref="E150:F150"/>
    <mergeCell ref="G155:H155"/>
    <mergeCell ref="G145:H145"/>
    <mergeCell ref="G146:H146"/>
    <mergeCell ref="G147:H147"/>
    <mergeCell ref="G148:H148"/>
    <mergeCell ref="G150:H150"/>
    <mergeCell ref="B155:C155"/>
    <mergeCell ref="E151:F153"/>
    <mergeCell ref="E167:F167"/>
    <mergeCell ref="E169:F169"/>
    <mergeCell ref="E168:F168"/>
    <mergeCell ref="B154:C154"/>
    <mergeCell ref="B169:C169"/>
    <mergeCell ref="E165:F165"/>
    <mergeCell ref="B165:C165"/>
    <mergeCell ref="B164:C164"/>
    <mergeCell ref="E162:F162"/>
    <mergeCell ref="B161:C161"/>
    <mergeCell ref="B162:C162"/>
    <mergeCell ref="E160:F160"/>
    <mergeCell ref="B159:C159"/>
    <mergeCell ref="E156:F156"/>
    <mergeCell ref="E157:F157"/>
    <mergeCell ref="E158:F158"/>
    <mergeCell ref="B163:C163"/>
    <mergeCell ref="B160:C160"/>
    <mergeCell ref="B156:C156"/>
    <mergeCell ref="B157:C157"/>
    <mergeCell ref="B158:C158"/>
    <mergeCell ref="G176:H176"/>
    <mergeCell ref="B168:C168"/>
    <mergeCell ref="B176:C176"/>
    <mergeCell ref="E176:F176"/>
    <mergeCell ref="A11:D11"/>
    <mergeCell ref="E11:F11"/>
    <mergeCell ref="B149:C149"/>
    <mergeCell ref="B172:C172"/>
    <mergeCell ref="E161:F161"/>
    <mergeCell ref="E159:F159"/>
    <mergeCell ref="G162:H162"/>
    <mergeCell ref="E163:F163"/>
    <mergeCell ref="G163:H163"/>
    <mergeCell ref="A12:D12"/>
    <mergeCell ref="E12:F12"/>
    <mergeCell ref="A13:D13"/>
    <mergeCell ref="A131:A138"/>
    <mergeCell ref="G159:H159"/>
    <mergeCell ref="A50:B50"/>
    <mergeCell ref="G160:H160"/>
    <mergeCell ref="G161:H161"/>
    <mergeCell ref="G169:H169"/>
    <mergeCell ref="G167:H167"/>
    <mergeCell ref="G168:H168"/>
    <mergeCell ref="O48:O59"/>
    <mergeCell ref="N44:N46"/>
    <mergeCell ref="O44:O46"/>
    <mergeCell ref="B171:C171"/>
    <mergeCell ref="E178:F178"/>
    <mergeCell ref="G178:H178"/>
    <mergeCell ref="F59:G59"/>
    <mergeCell ref="D51:E51"/>
    <mergeCell ref="F51:G51"/>
    <mergeCell ref="A52:B52"/>
    <mergeCell ref="D52:E52"/>
    <mergeCell ref="F52:G52"/>
    <mergeCell ref="A51:B51"/>
    <mergeCell ref="F48:G48"/>
    <mergeCell ref="A49:B49"/>
    <mergeCell ref="F50:G50"/>
    <mergeCell ref="F57:G57"/>
    <mergeCell ref="F58:G58"/>
    <mergeCell ref="I48:J48"/>
    <mergeCell ref="I55:J55"/>
    <mergeCell ref="A184:B184"/>
    <mergeCell ref="E184:F184"/>
    <mergeCell ref="C184:D184"/>
    <mergeCell ref="B173:C173"/>
    <mergeCell ref="E173:F173"/>
    <mergeCell ref="E183:F183"/>
    <mergeCell ref="B174:C174"/>
    <mergeCell ref="B175:C175"/>
    <mergeCell ref="E175:F175"/>
    <mergeCell ref="B178:C178"/>
    <mergeCell ref="A181:M181"/>
    <mergeCell ref="A183:B183"/>
    <mergeCell ref="C183:D183"/>
    <mergeCell ref="A172:A179"/>
    <mergeCell ref="I178:J178"/>
    <mergeCell ref="K178:L178"/>
    <mergeCell ref="I173:J173"/>
    <mergeCell ref="G173:H173"/>
    <mergeCell ref="I179:J179"/>
    <mergeCell ref="K179:L179"/>
    <mergeCell ref="I176:J176"/>
    <mergeCell ref="K176:L176"/>
    <mergeCell ref="I177:J177"/>
    <mergeCell ref="G177:H177"/>
    <mergeCell ref="I53:J53"/>
    <mergeCell ref="D49:E49"/>
    <mergeCell ref="F49:G49"/>
    <mergeCell ref="F39:G39"/>
    <mergeCell ref="A34:C34"/>
    <mergeCell ref="A35:C35"/>
    <mergeCell ref="D53:E53"/>
    <mergeCell ref="F53:G53"/>
    <mergeCell ref="A54:B54"/>
    <mergeCell ref="F54:G54"/>
    <mergeCell ref="A40:C40"/>
    <mergeCell ref="F40:G40"/>
    <mergeCell ref="F37:G37"/>
    <mergeCell ref="F38:G38"/>
    <mergeCell ref="A44:B46"/>
    <mergeCell ref="C44:C46"/>
    <mergeCell ref="D44:E46"/>
    <mergeCell ref="F44:G46"/>
    <mergeCell ref="A47:O47"/>
    <mergeCell ref="H44:H46"/>
    <mergeCell ref="I44:J46"/>
    <mergeCell ref="I54:J54"/>
    <mergeCell ref="K54:L54"/>
    <mergeCell ref="D54:E54"/>
    <mergeCell ref="B167:C167"/>
    <mergeCell ref="F55:G55"/>
    <mergeCell ref="K56:L56"/>
    <mergeCell ref="K57:L57"/>
    <mergeCell ref="K58:L58"/>
    <mergeCell ref="I142:J144"/>
    <mergeCell ref="K142:L144"/>
    <mergeCell ref="K63:L63"/>
    <mergeCell ref="K75:L75"/>
    <mergeCell ref="I56:J56"/>
    <mergeCell ref="E166:F166"/>
    <mergeCell ref="F63:G63"/>
    <mergeCell ref="F67:G67"/>
    <mergeCell ref="D64:E64"/>
    <mergeCell ref="A64:B64"/>
    <mergeCell ref="G165:H165"/>
    <mergeCell ref="G166:H166"/>
    <mergeCell ref="A164:A171"/>
    <mergeCell ref="B166:C166"/>
    <mergeCell ref="B170:C170"/>
    <mergeCell ref="G164:H164"/>
    <mergeCell ref="A90:B90"/>
    <mergeCell ref="D65:E65"/>
    <mergeCell ref="F65:G65"/>
    <mergeCell ref="I161:J161"/>
    <mergeCell ref="K161:L161"/>
    <mergeCell ref="K169:L169"/>
    <mergeCell ref="I165:J165"/>
    <mergeCell ref="K165:L165"/>
    <mergeCell ref="I166:J166"/>
    <mergeCell ref="K166:L166"/>
    <mergeCell ref="I167:J167"/>
    <mergeCell ref="K167:L167"/>
    <mergeCell ref="I162:J162"/>
    <mergeCell ref="K162:L162"/>
    <mergeCell ref="I163:J163"/>
    <mergeCell ref="K163:L163"/>
    <mergeCell ref="I164:J164"/>
    <mergeCell ref="K164:L164"/>
    <mergeCell ref="K177:L177"/>
    <mergeCell ref="M162:N162"/>
    <mergeCell ref="M163:N163"/>
    <mergeCell ref="M177:N177"/>
    <mergeCell ref="K173:L173"/>
    <mergeCell ref="I174:J174"/>
    <mergeCell ref="K174:L174"/>
    <mergeCell ref="I175:J175"/>
    <mergeCell ref="K175:L175"/>
    <mergeCell ref="I170:J170"/>
    <mergeCell ref="K170:L170"/>
    <mergeCell ref="I171:J171"/>
    <mergeCell ref="K171:L171"/>
    <mergeCell ref="I172:J172"/>
    <mergeCell ref="K172:L172"/>
    <mergeCell ref="I168:J168"/>
    <mergeCell ref="K168:L168"/>
    <mergeCell ref="I169:J169"/>
    <mergeCell ref="A1:O1"/>
    <mergeCell ref="A3:O3"/>
    <mergeCell ref="A7:O7"/>
    <mergeCell ref="A140:O140"/>
    <mergeCell ref="M155:N155"/>
    <mergeCell ref="I49:J49"/>
    <mergeCell ref="K49:L49"/>
    <mergeCell ref="I50:J50"/>
    <mergeCell ref="K50:L50"/>
    <mergeCell ref="M149:N149"/>
    <mergeCell ref="M150:N150"/>
    <mergeCell ref="M154:N154"/>
    <mergeCell ref="K150:L150"/>
    <mergeCell ref="I154:J154"/>
    <mergeCell ref="K154:L154"/>
    <mergeCell ref="I155:J155"/>
    <mergeCell ref="K155:L155"/>
    <mergeCell ref="K151:L153"/>
    <mergeCell ref="I151:J153"/>
    <mergeCell ref="I147:J147"/>
    <mergeCell ref="K147:L147"/>
    <mergeCell ref="I148:J148"/>
    <mergeCell ref="K148:L148"/>
    <mergeCell ref="I149:J149"/>
    <mergeCell ref="O142:O144"/>
    <mergeCell ref="M142:N144"/>
    <mergeCell ref="M145:N145"/>
    <mergeCell ref="M146:N146"/>
    <mergeCell ref="M176:N176"/>
    <mergeCell ref="M164:N164"/>
    <mergeCell ref="M165:N165"/>
    <mergeCell ref="M166:N166"/>
    <mergeCell ref="M167:N167"/>
    <mergeCell ref="M159:N159"/>
    <mergeCell ref="M156:N156"/>
    <mergeCell ref="M157:N157"/>
    <mergeCell ref="O154:O179"/>
    <mergeCell ref="M178:N178"/>
    <mergeCell ref="M179:N179"/>
    <mergeCell ref="M173:N173"/>
    <mergeCell ref="M174:N174"/>
    <mergeCell ref="M169:N169"/>
    <mergeCell ref="M170:N170"/>
    <mergeCell ref="M171:N171"/>
    <mergeCell ref="M172:N172"/>
    <mergeCell ref="M175:N175"/>
    <mergeCell ref="M168:N168"/>
    <mergeCell ref="M161:N161"/>
    <mergeCell ref="A55:B55"/>
    <mergeCell ref="A56:B56"/>
    <mergeCell ref="A57:B57"/>
    <mergeCell ref="A58:B58"/>
    <mergeCell ref="D55:E55"/>
    <mergeCell ref="D56:E56"/>
    <mergeCell ref="D57:E57"/>
    <mergeCell ref="D58:E58"/>
    <mergeCell ref="M160:N160"/>
    <mergeCell ref="I159:J159"/>
    <mergeCell ref="K159:L159"/>
    <mergeCell ref="I160:J160"/>
    <mergeCell ref="K160:L160"/>
    <mergeCell ref="I156:J156"/>
    <mergeCell ref="K156:L156"/>
    <mergeCell ref="I157:J157"/>
    <mergeCell ref="K157:L157"/>
    <mergeCell ref="I158:J158"/>
    <mergeCell ref="K158:L158"/>
    <mergeCell ref="K149:L149"/>
    <mergeCell ref="M158:N158"/>
    <mergeCell ref="I59:J59"/>
    <mergeCell ref="K59:L59"/>
    <mergeCell ref="M148:N148"/>
    <mergeCell ref="K55:L55"/>
    <mergeCell ref="I63:J63"/>
    <mergeCell ref="I67:J67"/>
    <mergeCell ref="K67:L67"/>
    <mergeCell ref="I57:J57"/>
    <mergeCell ref="I58:J58"/>
    <mergeCell ref="I145:J145"/>
    <mergeCell ref="K145:L145"/>
    <mergeCell ref="I146:J146"/>
    <mergeCell ref="K146:L146"/>
    <mergeCell ref="A73:O73"/>
    <mergeCell ref="O78:O80"/>
    <mergeCell ref="O74:O77"/>
    <mergeCell ref="A78:B80"/>
    <mergeCell ref="A106:A113"/>
    <mergeCell ref="A59:B59"/>
    <mergeCell ref="D59:E59"/>
    <mergeCell ref="F64:G64"/>
    <mergeCell ref="I64:J64"/>
    <mergeCell ref="K64:L64"/>
    <mergeCell ref="K66:L66"/>
    <mergeCell ref="I65:J65"/>
    <mergeCell ref="K65:L65"/>
    <mergeCell ref="D62:E62"/>
    <mergeCell ref="G11:H11"/>
    <mergeCell ref="G12:H12"/>
    <mergeCell ref="G13:H13"/>
    <mergeCell ref="G14:H14"/>
    <mergeCell ref="A18:O18"/>
    <mergeCell ref="A15:D15"/>
    <mergeCell ref="E15:F15"/>
    <mergeCell ref="G15:H15"/>
    <mergeCell ref="E13:F13"/>
    <mergeCell ref="A14:D14"/>
    <mergeCell ref="E14:F14"/>
    <mergeCell ref="L32:M32"/>
    <mergeCell ref="D40:E40"/>
    <mergeCell ref="D34:E34"/>
    <mergeCell ref="D35:E35"/>
    <mergeCell ref="D36:E36"/>
    <mergeCell ref="F35:G35"/>
    <mergeCell ref="F36:G36"/>
    <mergeCell ref="J39:K39"/>
    <mergeCell ref="A16:D16"/>
    <mergeCell ref="E16:F16"/>
    <mergeCell ref="G16:H16"/>
    <mergeCell ref="A30:C32"/>
    <mergeCell ref="A33:C33"/>
    <mergeCell ref="F33:G33"/>
    <mergeCell ref="D33:E33"/>
    <mergeCell ref="D30:E32"/>
    <mergeCell ref="F30:M31"/>
    <mergeCell ref="F32:G32"/>
    <mergeCell ref="A36:C36"/>
    <mergeCell ref="A37:C37"/>
    <mergeCell ref="A38:C38"/>
    <mergeCell ref="A39:C39"/>
    <mergeCell ref="D37:E37"/>
    <mergeCell ref="D38:E38"/>
    <mergeCell ref="D39:E39"/>
    <mergeCell ref="H32:I32"/>
    <mergeCell ref="J32:K32"/>
    <mergeCell ref="L33:M33"/>
    <mergeCell ref="L34:M34"/>
    <mergeCell ref="L35:M35"/>
    <mergeCell ref="L36:M36"/>
    <mergeCell ref="L37:M37"/>
    <mergeCell ref="L38:M38"/>
    <mergeCell ref="F34:G34"/>
    <mergeCell ref="J33:K33"/>
    <mergeCell ref="J34:K34"/>
    <mergeCell ref="J35:K35"/>
    <mergeCell ref="J36:K36"/>
    <mergeCell ref="J37:K37"/>
    <mergeCell ref="H33:I33"/>
    <mergeCell ref="H34:I34"/>
    <mergeCell ref="H35:I35"/>
    <mergeCell ref="H36:I36"/>
    <mergeCell ref="H37:I37"/>
    <mergeCell ref="H38:I38"/>
    <mergeCell ref="J38:K38"/>
    <mergeCell ref="L39:M39"/>
    <mergeCell ref="H39:I39"/>
    <mergeCell ref="L40:M40"/>
    <mergeCell ref="A61:B61"/>
    <mergeCell ref="D61:E61"/>
    <mergeCell ref="F61:G61"/>
    <mergeCell ref="I61:J61"/>
    <mergeCell ref="K61:L61"/>
    <mergeCell ref="K53:L53"/>
    <mergeCell ref="A60:O60"/>
    <mergeCell ref="J40:K40"/>
    <mergeCell ref="H40:I40"/>
    <mergeCell ref="M44:M46"/>
    <mergeCell ref="I51:J51"/>
    <mergeCell ref="K51:L51"/>
    <mergeCell ref="I52:J52"/>
    <mergeCell ref="K52:L52"/>
    <mergeCell ref="K48:L48"/>
    <mergeCell ref="K44:L46"/>
    <mergeCell ref="A53:B53"/>
    <mergeCell ref="D50:E50"/>
    <mergeCell ref="A48:B48"/>
    <mergeCell ref="D48:E48"/>
    <mergeCell ref="F56:G56"/>
    <mergeCell ref="O61:O72"/>
    <mergeCell ref="A62:B62"/>
    <mergeCell ref="F62:G62"/>
    <mergeCell ref="I62:J62"/>
    <mergeCell ref="K62:L62"/>
    <mergeCell ref="A67:B67"/>
    <mergeCell ref="D67:E67"/>
    <mergeCell ref="A63:B63"/>
    <mergeCell ref="D63:E63"/>
    <mergeCell ref="A68:B68"/>
    <mergeCell ref="D68:E68"/>
    <mergeCell ref="F68:G68"/>
    <mergeCell ref="I68:J68"/>
    <mergeCell ref="K68:L68"/>
    <mergeCell ref="A65:B65"/>
    <mergeCell ref="A69:B69"/>
    <mergeCell ref="D69:E69"/>
    <mergeCell ref="F69:G69"/>
    <mergeCell ref="I69:J69"/>
    <mergeCell ref="K69:L69"/>
    <mergeCell ref="A66:B66"/>
    <mergeCell ref="D66:E66"/>
    <mergeCell ref="F66:G66"/>
    <mergeCell ref="I66:J66"/>
    <mergeCell ref="A72:B72"/>
    <mergeCell ref="D72:E72"/>
    <mergeCell ref="F72:G72"/>
    <mergeCell ref="I72:J72"/>
    <mergeCell ref="K72:L72"/>
    <mergeCell ref="A70:B70"/>
    <mergeCell ref="D70:E70"/>
    <mergeCell ref="F70:G70"/>
    <mergeCell ref="I70:J70"/>
    <mergeCell ref="K70:L70"/>
    <mergeCell ref="A71:B71"/>
    <mergeCell ref="D71:E71"/>
    <mergeCell ref="F71:G71"/>
    <mergeCell ref="I71:J71"/>
    <mergeCell ref="K71:L71"/>
    <mergeCell ref="A74:B74"/>
    <mergeCell ref="D74:E74"/>
    <mergeCell ref="F74:G74"/>
    <mergeCell ref="I74:J74"/>
    <mergeCell ref="K74:L74"/>
    <mergeCell ref="A75:B75"/>
    <mergeCell ref="D75:E75"/>
    <mergeCell ref="F75:G75"/>
    <mergeCell ref="I75:J75"/>
    <mergeCell ref="D76:E76"/>
    <mergeCell ref="F76:G76"/>
    <mergeCell ref="I76:J76"/>
    <mergeCell ref="K76:L76"/>
    <mergeCell ref="A77:B77"/>
    <mergeCell ref="D77:E77"/>
    <mergeCell ref="F77:G77"/>
    <mergeCell ref="I77:J77"/>
    <mergeCell ref="K77:L77"/>
    <mergeCell ref="A76:B76"/>
    <mergeCell ref="A81:B81"/>
    <mergeCell ref="D81:E81"/>
    <mergeCell ref="F81:G81"/>
    <mergeCell ref="I81:J81"/>
    <mergeCell ref="K81:L81"/>
    <mergeCell ref="A82:B82"/>
    <mergeCell ref="D82:E82"/>
    <mergeCell ref="F82:G82"/>
    <mergeCell ref="I82:J82"/>
    <mergeCell ref="K82:L82"/>
    <mergeCell ref="A83:B83"/>
    <mergeCell ref="D83:E83"/>
    <mergeCell ref="F83:G83"/>
    <mergeCell ref="I83:J83"/>
    <mergeCell ref="K83:L83"/>
    <mergeCell ref="A84:B84"/>
    <mergeCell ref="D84:E84"/>
    <mergeCell ref="F84:G84"/>
    <mergeCell ref="I84:J84"/>
    <mergeCell ref="K84:L84"/>
    <mergeCell ref="A85:B85"/>
    <mergeCell ref="D85:E85"/>
    <mergeCell ref="F85:G85"/>
    <mergeCell ref="I85:J85"/>
    <mergeCell ref="K85:L85"/>
    <mergeCell ref="A86:B86"/>
    <mergeCell ref="D86:E86"/>
    <mergeCell ref="F86:G86"/>
    <mergeCell ref="I86:J86"/>
    <mergeCell ref="K86:L86"/>
    <mergeCell ref="A87:B87"/>
    <mergeCell ref="D87:E87"/>
    <mergeCell ref="F87:G87"/>
    <mergeCell ref="I87:J87"/>
    <mergeCell ref="K87:L87"/>
    <mergeCell ref="A88:B88"/>
    <mergeCell ref="D88:E88"/>
    <mergeCell ref="F88:G88"/>
    <mergeCell ref="I88:J88"/>
    <mergeCell ref="K88:L88"/>
    <mergeCell ref="O90:O101"/>
    <mergeCell ref="A91:B91"/>
    <mergeCell ref="D91:E91"/>
    <mergeCell ref="F91:G91"/>
    <mergeCell ref="I91:J91"/>
    <mergeCell ref="K91:L91"/>
    <mergeCell ref="A93:B93"/>
    <mergeCell ref="D93:E93"/>
    <mergeCell ref="F93:G93"/>
    <mergeCell ref="I93:J93"/>
    <mergeCell ref="A101:B101"/>
    <mergeCell ref="D101:E101"/>
    <mergeCell ref="F101:G101"/>
    <mergeCell ref="I101:J101"/>
    <mergeCell ref="K101:L101"/>
    <mergeCell ref="A94:B94"/>
    <mergeCell ref="D94:E94"/>
    <mergeCell ref="F94:G94"/>
    <mergeCell ref="I94:J94"/>
    <mergeCell ref="K94:L94"/>
    <mergeCell ref="A99:B99"/>
    <mergeCell ref="D99:E99"/>
    <mergeCell ref="F99:G99"/>
    <mergeCell ref="I99:J99"/>
    <mergeCell ref="F97:G97"/>
    <mergeCell ref="I97:J97"/>
    <mergeCell ref="K97:L97"/>
    <mergeCell ref="K96:L96"/>
    <mergeCell ref="A95:B95"/>
    <mergeCell ref="D95:E95"/>
    <mergeCell ref="F95:G95"/>
    <mergeCell ref="F98:G98"/>
    <mergeCell ref="I98:J98"/>
    <mergeCell ref="K98:L98"/>
    <mergeCell ref="A154:A155"/>
    <mergeCell ref="O81:O88"/>
    <mergeCell ref="A89:O89"/>
    <mergeCell ref="A151:A153"/>
    <mergeCell ref="B151:C153"/>
    <mergeCell ref="D151:D153"/>
    <mergeCell ref="M147:N147"/>
    <mergeCell ref="K100:L100"/>
    <mergeCell ref="I150:J150"/>
    <mergeCell ref="O151:O153"/>
    <mergeCell ref="A145:A150"/>
    <mergeCell ref="O145:O150"/>
    <mergeCell ref="A100:B100"/>
    <mergeCell ref="D100:E100"/>
    <mergeCell ref="F100:G100"/>
    <mergeCell ref="I100:J100"/>
    <mergeCell ref="M151:N153"/>
    <mergeCell ref="A96:B96"/>
    <mergeCell ref="D96:E96"/>
    <mergeCell ref="F96:G96"/>
    <mergeCell ref="I96:J96"/>
    <mergeCell ref="D90:E90"/>
    <mergeCell ref="F90:G90"/>
    <mergeCell ref="A92:B92"/>
    <mergeCell ref="M78:M80"/>
    <mergeCell ref="N78:N80"/>
    <mergeCell ref="I106:I113"/>
    <mergeCell ref="I115:I138"/>
    <mergeCell ref="A98:B98"/>
    <mergeCell ref="D98:E98"/>
    <mergeCell ref="K92:L92"/>
    <mergeCell ref="K93:L93"/>
    <mergeCell ref="I90:J90"/>
    <mergeCell ref="K90:L90"/>
    <mergeCell ref="I95:J95"/>
    <mergeCell ref="K95:L95"/>
    <mergeCell ref="K78:L80"/>
    <mergeCell ref="C78:C80"/>
    <mergeCell ref="D78:E80"/>
    <mergeCell ref="F78:G80"/>
    <mergeCell ref="H78:H80"/>
    <mergeCell ref="I78:J80"/>
    <mergeCell ref="D92:E92"/>
    <mergeCell ref="F92:G92"/>
    <mergeCell ref="I92:J92"/>
    <mergeCell ref="K99:L99"/>
    <mergeCell ref="A97:B97"/>
    <mergeCell ref="D97:E97"/>
  </mergeCells>
  <phoneticPr fontId="0" type="noConversion"/>
  <pageMargins left="0.39370078740157483" right="0.19685039370078741" top="0.59055118110236227" bottom="0.59055118110236227" header="0.51181102362204722" footer="0.31496062992125984"/>
  <pageSetup paperSize="9" orientation="landscape" verticalDpi="0" r:id="rId1"/>
  <headerFooter alignWithMargins="0">
    <oddFooter>&amp;R&amp;"Times New Roman,обычный"Страница &amp;P из &amp;N</oddFooter>
  </headerFooter>
  <rowBreaks count="1" manualBreakCount="1">
    <brk id="7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2021-08-18T06:47:42Z</cp:lastPrinted>
  <dcterms:created xsi:type="dcterms:W3CDTF">1996-10-08T23:32:33Z</dcterms:created>
  <dcterms:modified xsi:type="dcterms:W3CDTF">2026-04-24T12:25:42Z</dcterms:modified>
</cp:coreProperties>
</file>