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-120" yWindow="-120" windowWidth="29040" windowHeight="15720"/>
  </bookViews>
  <sheets>
    <sheet name="Лист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O142" i="1" l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G147" i="1"/>
  <c r="O126" i="1" l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S80" i="1" l="1"/>
  <c r="S79" i="1"/>
  <c r="S78" i="1"/>
  <c r="S77" i="1"/>
  <c r="S76" i="1"/>
  <c r="S75" i="1"/>
  <c r="S74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R80" i="1"/>
  <c r="R79" i="1"/>
  <c r="R78" i="1"/>
  <c r="R77" i="1"/>
  <c r="R76" i="1"/>
  <c r="R75" i="1"/>
  <c r="R74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</calcChain>
</file>

<file path=xl/sharedStrings.xml><?xml version="1.0" encoding="utf-8"?>
<sst xmlns="http://schemas.openxmlformats.org/spreadsheetml/2006/main" count="763" uniqueCount="571">
  <si>
    <t xml:space="preserve"> </t>
  </si>
  <si>
    <t>Параметр</t>
  </si>
  <si>
    <t>Действительные значения</t>
  </si>
  <si>
    <t>Температура окружающего воздуха, °С</t>
  </si>
  <si>
    <t>Атмосферное давление, кПа</t>
  </si>
  <si>
    <t>№ канала</t>
  </si>
  <si>
    <t>Установленый коэффицент отклонения, мВ/дел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</si>
  <si>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</si>
  <si>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</si>
  <si>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</si>
  <si>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600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</si>
  <si>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1,5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</si>
  <si>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 мВ</t>
    </r>
  </si>
  <si>
    <t>Измеренные значения Uср, мВ</t>
  </si>
  <si>
    <t>канал 1</t>
  </si>
  <si>
    <t>канал 2</t>
  </si>
  <si>
    <t>канал 3</t>
  </si>
  <si>
    <t>канал 4</t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</si>
  <si>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1,8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</si>
  <si>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2,6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</si>
  <si>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17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</si>
  <si>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41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</si>
  <si>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81</t>
    </r>
  </si>
  <si>
    <t>Относительная влажность воздуха, %</t>
  </si>
  <si>
    <r>
      <t>Допустимые значения U</t>
    </r>
    <r>
      <rPr>
        <vertAlign val="subscript"/>
        <sz val="10"/>
        <rFont val="Times New Roman"/>
        <family val="1"/>
        <charset val="204"/>
      </rPr>
      <t>ср</t>
    </r>
    <r>
      <rPr>
        <sz val="10"/>
        <rFont val="Times New Roman"/>
        <family val="1"/>
        <charset val="204"/>
      </rPr>
      <t xml:space="preserve"> (∆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>),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</si>
  <si>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2,4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</si>
  <si>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1,2</t>
    </r>
  </si>
  <si>
    <t>Напряжение питания от сети переменного тока, В</t>
  </si>
  <si>
    <t>Допустимые значения</t>
  </si>
  <si>
    <t>Частота сети переменного тока, Гц</t>
  </si>
  <si>
    <t>10 мВ/дел</t>
  </si>
  <si>
    <t>20 мВ/дел</t>
  </si>
  <si>
    <t>50 мВ/дел</t>
  </si>
  <si>
    <t>100 мВ/дел</t>
  </si>
  <si>
    <t>200 мВ/дел</t>
  </si>
  <si>
    <t>500 мВ/дел</t>
  </si>
  <si>
    <t>1 В/дел</t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</si>
  <si>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5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</si>
  <si>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9</t>
    </r>
  </si>
  <si>
    <t>Значение коэффицента отклонения</t>
  </si>
  <si>
    <t>Напряжение на выходе встроеннного калибратора/
установленное постоянное смещение, 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</si>
  <si>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</si>
  <si>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0,7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</si>
  <si>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0,4</t>
    </r>
  </si>
  <si>
    <r>
      <t>Показания осциллографа
U</t>
    </r>
    <r>
      <rPr>
        <vertAlign val="subscript"/>
        <sz val="10"/>
        <rFont val="Times New Roman"/>
        <family val="1"/>
        <charset val="204"/>
      </rPr>
      <t>осц+</t>
    </r>
  </si>
  <si>
    <r>
      <t>Показания мультиметра
U</t>
    </r>
    <r>
      <rPr>
        <vertAlign val="subscript"/>
        <sz val="10"/>
        <rFont val="Times New Roman"/>
        <family val="1"/>
        <charset val="204"/>
      </rPr>
      <t>м+</t>
    </r>
  </si>
  <si>
    <r>
      <t>Показания мультиметра
U</t>
    </r>
    <r>
      <rPr>
        <vertAlign val="subscript"/>
        <sz val="10"/>
        <rFont val="Cambria"/>
        <family val="1"/>
        <charset val="204"/>
      </rPr>
      <t>м-</t>
    </r>
  </si>
  <si>
    <r>
      <t>Показания мультиметра
U</t>
    </r>
    <r>
      <rPr>
        <vertAlign val="subscript"/>
        <sz val="10"/>
        <rFont val="Cambria"/>
        <family val="1"/>
        <charset val="204"/>
      </rPr>
      <t>м0</t>
    </r>
  </si>
  <si>
    <r>
      <t>Показания осциллографа
U</t>
    </r>
    <r>
      <rPr>
        <vertAlign val="subscript"/>
        <sz val="10"/>
        <rFont val="Times New Roman"/>
        <family val="1"/>
        <charset val="204"/>
      </rPr>
      <t>осц-</t>
    </r>
  </si>
  <si>
    <r>
      <t>Показания осциллографа
U</t>
    </r>
    <r>
      <rPr>
        <vertAlign val="subscript"/>
        <sz val="10"/>
        <rFont val="Times New Roman"/>
        <family val="1"/>
        <charset val="204"/>
      </rPr>
      <t>осц0</t>
    </r>
  </si>
  <si>
    <r>
      <t>Значение коэффициента К</t>
    </r>
    <r>
      <rPr>
        <vertAlign val="subscript"/>
        <sz val="7"/>
        <rFont val="Times New Roman"/>
        <family val="1"/>
        <charset val="204"/>
      </rPr>
      <t>баз+</t>
    </r>
    <r>
      <rPr>
        <sz val="7"/>
        <rFont val="Times New Roman"/>
        <family val="1"/>
        <charset val="204"/>
      </rPr>
      <t>, %</t>
    </r>
  </si>
  <si>
    <r>
      <t>Значение коэффициента К</t>
    </r>
    <r>
      <rPr>
        <vertAlign val="subscript"/>
        <sz val="7"/>
        <rFont val="Times New Roman"/>
        <family val="1"/>
        <charset val="204"/>
      </rPr>
      <t>баз-</t>
    </r>
    <r>
      <rPr>
        <sz val="7"/>
        <rFont val="Times New Roman"/>
        <family val="1"/>
        <charset val="204"/>
      </rPr>
      <t>, %</t>
    </r>
  </si>
  <si>
    <r>
      <t>Допустимое значение коэффициента К</t>
    </r>
    <r>
      <rPr>
        <vertAlign val="subscript"/>
        <sz val="7"/>
        <rFont val="Times New Roman"/>
        <family val="1"/>
        <charset val="204"/>
      </rPr>
      <t>баз</t>
    </r>
    <r>
      <rPr>
        <sz val="7"/>
        <rFont val="Times New Roman"/>
        <family val="1"/>
        <charset val="204"/>
      </rPr>
      <t>, %</t>
    </r>
  </si>
  <si>
    <t>Значение коэффициента отклонения осциллографа</t>
  </si>
  <si>
    <t>Значение напряжения на выходе осциллографа Cal Out Setting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</si>
  <si>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2,4 В</t>
    </r>
  </si>
  <si>
    <t>Измеренные значения напряжения</t>
  </si>
  <si>
    <r>
      <t>U</t>
    </r>
    <r>
      <rPr>
        <vertAlign val="subscript"/>
        <sz val="10"/>
        <rFont val="Times New Roman"/>
        <family val="1"/>
        <charset val="204"/>
      </rPr>
      <t>м+</t>
    </r>
  </si>
  <si>
    <r>
      <t>U</t>
    </r>
    <r>
      <rPr>
        <vertAlign val="subscript"/>
        <sz val="10"/>
        <rFont val="Cambria"/>
        <family val="1"/>
        <charset val="204"/>
      </rPr>
      <t>м-</t>
    </r>
  </si>
  <si>
    <t>Пределы допускаемой погрешности установки коэффициента отклонения, %</t>
  </si>
  <si>
    <r>
      <t>U</t>
    </r>
    <r>
      <rPr>
        <vertAlign val="subscript"/>
        <sz val="10"/>
        <rFont val="Times New Roman"/>
        <family val="1"/>
        <charset val="204"/>
      </rPr>
      <t>осц-</t>
    </r>
  </si>
  <si>
    <r>
      <t>U</t>
    </r>
    <r>
      <rPr>
        <vertAlign val="subscript"/>
        <sz val="10"/>
        <rFont val="Times New Roman"/>
        <family val="1"/>
        <charset val="204"/>
      </rPr>
      <t>осц+</t>
    </r>
  </si>
  <si>
    <r>
      <t xml:space="preserve">Вычисленное значение погрешности коэффициента отклонения </t>
    </r>
    <r>
      <rPr>
        <sz val="10"/>
        <rFont val="Symbol"/>
        <family val="1"/>
        <charset val="2"/>
      </rPr>
      <t>d</t>
    </r>
    <r>
      <rPr>
        <vertAlign val="subscript"/>
        <sz val="10"/>
        <rFont val="Times New Roman"/>
        <family val="1"/>
        <charset val="204"/>
      </rPr>
      <t>Kо</t>
    </r>
    <r>
      <rPr>
        <sz val="10"/>
        <rFont val="Times New Roman"/>
        <family val="1"/>
        <charset val="204"/>
      </rPr>
      <t>, %</t>
    </r>
  </si>
  <si>
    <t>Показания частотомера, МГц</t>
  </si>
  <si>
    <r>
      <t>Вычисленное значение погрешности</t>
    </r>
    <r>
      <rPr>
        <sz val="10"/>
        <rFont val="Symbol"/>
        <family val="1"/>
        <charset val="2"/>
      </rPr>
      <t xml:space="preserve"> d</t>
    </r>
    <r>
      <rPr>
        <vertAlign val="subscript"/>
        <sz val="10"/>
        <rFont val="Times New Roman"/>
        <family val="1"/>
        <charset val="204"/>
      </rPr>
      <t>ог</t>
    </r>
  </si>
  <si>
    <r>
      <t>F</t>
    </r>
    <r>
      <rPr>
        <vertAlign val="subscript"/>
        <sz val="10"/>
        <rFont val="Times New Roman"/>
        <family val="1"/>
        <charset val="204"/>
      </rPr>
      <t>ог</t>
    </r>
    <r>
      <rPr>
        <sz val="10"/>
        <rFont val="Times New Roman"/>
        <family val="1"/>
        <charset val="204"/>
      </rPr>
      <t>, МГц</t>
    </r>
  </si>
  <si>
    <t>Пределы допускаемой погрешности по частоте внутреннего опорного генератора</t>
  </si>
  <si>
    <t>Наименование, тип СИ:</t>
  </si>
  <si>
    <t>Заводской номер:</t>
  </si>
  <si>
    <t>Заказчик:</t>
  </si>
  <si>
    <t>отд. 310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</si>
  <si>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</t>
    </r>
  </si>
  <si>
    <t>канал 1R</t>
  </si>
  <si>
    <t>канал 3R</t>
  </si>
  <si>
    <t>1R</t>
  </si>
  <si>
    <t>3R</t>
  </si>
  <si>
    <t>Методика калибровки:</t>
  </si>
  <si>
    <t>651-15-06 МП</t>
  </si>
  <si>
    <t>Условия проведения калибровки:</t>
  </si>
  <si>
    <r>
      <t xml:space="preserve">23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</si>
  <si>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от 5 до 70</t>
  </si>
  <si>
    <t>от 83,4 до 106</t>
  </si>
  <si>
    <t>от 100 до 250</t>
  </si>
  <si>
    <t>от 50 до 60</t>
  </si>
  <si>
    <r>
      <t xml:space="preserve">Средства калибровки: </t>
    </r>
    <r>
      <rPr>
        <b/>
        <i/>
        <u/>
        <sz val="10"/>
        <color theme="1"/>
        <rFont val="Times New Roman"/>
        <family val="1"/>
        <charset val="204"/>
      </rPr>
      <t>Ч3-85/5 № 6Н2090027, 34411A № MY53002107</t>
    </r>
  </si>
  <si>
    <r>
      <t xml:space="preserve">1 Внешний осмотр (п. 8.1):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</si>
  <si>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 8.2):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</si>
  <si>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3 Идентификация программного обеспечения (п. 8.3): </t>
    </r>
    <r>
      <rPr>
        <b/>
        <i/>
        <u/>
        <sz val="10"/>
        <rFont val="Times New Roman"/>
        <family val="1"/>
        <charset val="204"/>
      </rPr>
      <t>06.30.00701</t>
    </r>
    <r>
      <rPr>
        <sz val="10"/>
        <rFont val="Times New Roman"/>
        <family val="1"/>
        <charset val="204"/>
      </rPr>
      <t xml:space="preserve"> версия не ниже 05.10.0005</t>
    </r>
  </si>
  <si>
    <t xml:space="preserve">4.1 Определение абсолютной погрешности установки напряжения смещения (п. 8.4) </t>
  </si>
  <si>
    <t>4.1.1 Определение составляющей погрешности установки напряжения смещения из-за дрейфа "нуля" (п. 8.4.1)</t>
  </si>
  <si>
    <t>4.1.2 Определение базовой составляющей погрешности установки напряжения смещения (п. 8.4.2)</t>
  </si>
  <si>
    <t>± 2</t>
  </si>
  <si>
    <t xml:space="preserve">4.2 Определение абсолютной погрешности установки коэффициента отклонения (п. 8.6) </t>
  </si>
  <si>
    <t>4.3 Определение относительной погрешности по частоте внутреннего опорного генератора (п. 8.7)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</si>
  <si>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0,12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-6</t>
    </r>
  </si>
  <si>
    <t>Протокол периодической поверки</t>
  </si>
  <si>
    <t>Осциллограф</t>
  </si>
  <si>
    <t>_type</t>
  </si>
  <si>
    <t>_numb</t>
  </si>
  <si>
    <t>_temp</t>
  </si>
  <si>
    <t>_hum</t>
  </si>
  <si>
    <t>_pres</t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</si>
  <si>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годен</t>
    </r>
  </si>
  <si>
    <t>Поверку провёл:</t>
  </si>
  <si>
    <t>(</t>
  </si>
  <si>
    <t>_pov</t>
  </si>
  <si>
    <t>)</t>
  </si>
  <si>
    <t>Дата:</t>
  </si>
  <si>
    <t>_date</t>
  </si>
  <si>
    <t>nul1_1</t>
  </si>
  <si>
    <t>nul2_1</t>
  </si>
  <si>
    <t>nul3_1</t>
  </si>
  <si>
    <t>nul4_1</t>
  </si>
  <si>
    <t>nul1_2</t>
  </si>
  <si>
    <t>nul1_3</t>
  </si>
  <si>
    <t>nul1_4</t>
  </si>
  <si>
    <t>nul2_2</t>
  </si>
  <si>
    <t>nul2_3</t>
  </si>
  <si>
    <t>nul2_4</t>
  </si>
  <si>
    <t>nul3_2</t>
  </si>
  <si>
    <t>nul3_3</t>
  </si>
  <si>
    <t>nul3_4</t>
  </si>
  <si>
    <t>nul4_2</t>
  </si>
  <si>
    <t>nul4_3</t>
  </si>
  <si>
    <t>nul4_4</t>
  </si>
  <si>
    <t>nul1_5</t>
  </si>
  <si>
    <t>nul2_5</t>
  </si>
  <si>
    <t>nul3_5</t>
  </si>
  <si>
    <t>nul4_5</t>
  </si>
  <si>
    <t>nul1_6</t>
  </si>
  <si>
    <t>nul1_7</t>
  </si>
  <si>
    <t>nul2_6</t>
  </si>
  <si>
    <t>nul2_7</t>
  </si>
  <si>
    <t>nul3_6</t>
  </si>
  <si>
    <t>nul3_7</t>
  </si>
  <si>
    <t>nul4_6</t>
  </si>
  <si>
    <t>nul4_7</t>
  </si>
  <si>
    <t>vofs1+1</t>
  </si>
  <si>
    <t>vofs1-1</t>
  </si>
  <si>
    <t>vofs01_1</t>
  </si>
  <si>
    <t>ovofs1+1</t>
  </si>
  <si>
    <t>ovofs1-1</t>
  </si>
  <si>
    <t>ovofs01_1</t>
  </si>
  <si>
    <t>vofs1+2</t>
  </si>
  <si>
    <t>vofs1-2</t>
  </si>
  <si>
    <t>vofs01_2</t>
  </si>
  <si>
    <t>ovofs1+2</t>
  </si>
  <si>
    <t>ovofs1-2</t>
  </si>
  <si>
    <t>ovofs01_2</t>
  </si>
  <si>
    <t>vofs1+3</t>
  </si>
  <si>
    <t>vofs1-3</t>
  </si>
  <si>
    <t>vofs01_3</t>
  </si>
  <si>
    <t>ovofs1+3</t>
  </si>
  <si>
    <t>ovofs1-3</t>
  </si>
  <si>
    <t>ovofs01_3</t>
  </si>
  <si>
    <t>vofs1+4</t>
  </si>
  <si>
    <t>vofs1-4</t>
  </si>
  <si>
    <t>vofs01_4</t>
  </si>
  <si>
    <t>ovofs1+4</t>
  </si>
  <si>
    <t>ovofs1-4</t>
  </si>
  <si>
    <t>ovofs01_4</t>
  </si>
  <si>
    <t>vofs1+5</t>
  </si>
  <si>
    <t>vofs1-5</t>
  </si>
  <si>
    <t>vofs01_5</t>
  </si>
  <si>
    <t>ovofs1+5</t>
  </si>
  <si>
    <t>ovofs1-5</t>
  </si>
  <si>
    <t>ovofs01_5</t>
  </si>
  <si>
    <t>vofs1+6</t>
  </si>
  <si>
    <t>vofs1-6</t>
  </si>
  <si>
    <t>vofs01_6</t>
  </si>
  <si>
    <t>ovofs1+6</t>
  </si>
  <si>
    <t>ovofs1-6</t>
  </si>
  <si>
    <t>ovofs01_6</t>
  </si>
  <si>
    <t>vofs1+7</t>
  </si>
  <si>
    <t>vofs1-7</t>
  </si>
  <si>
    <t>vofs01_7</t>
  </si>
  <si>
    <t>ovofs1+7</t>
  </si>
  <si>
    <t>ovofs1-7</t>
  </si>
  <si>
    <t>ovofs01_7</t>
  </si>
  <si>
    <t>vofs2+1</t>
  </si>
  <si>
    <t>vofs2-1</t>
  </si>
  <si>
    <t>vofs02_1</t>
  </si>
  <si>
    <t>ovofs2+1</t>
  </si>
  <si>
    <t>ovofs2-1</t>
  </si>
  <si>
    <t>ovofs02_1</t>
  </si>
  <si>
    <t>vofs2+2</t>
  </si>
  <si>
    <t>vofs2-2</t>
  </si>
  <si>
    <t>vofs02_2</t>
  </si>
  <si>
    <t>ovofs2+2</t>
  </si>
  <si>
    <t>ovofs2-2</t>
  </si>
  <si>
    <t>ovofs02_2</t>
  </si>
  <si>
    <t>vofs2+3</t>
  </si>
  <si>
    <t>vofs2-3</t>
  </si>
  <si>
    <t>vofs02_3</t>
  </si>
  <si>
    <t>ovofs2+3</t>
  </si>
  <si>
    <t>ovofs2-3</t>
  </si>
  <si>
    <t>ovofs02_3</t>
  </si>
  <si>
    <t>vofs2+4</t>
  </si>
  <si>
    <t>vofs2-4</t>
  </si>
  <si>
    <t>vofs02_4</t>
  </si>
  <si>
    <t>ovofs2+4</t>
  </si>
  <si>
    <t>ovofs2-4</t>
  </si>
  <si>
    <t>ovofs02_4</t>
  </si>
  <si>
    <t>vofs2+5</t>
  </si>
  <si>
    <t>vofs2-5</t>
  </si>
  <si>
    <t>vofs02_5</t>
  </si>
  <si>
    <t>ovofs2+5</t>
  </si>
  <si>
    <t>ovofs2-5</t>
  </si>
  <si>
    <t>ovofs02_5</t>
  </si>
  <si>
    <t>vofs2+6</t>
  </si>
  <si>
    <t>vofs2-6</t>
  </si>
  <si>
    <t>vofs02_6</t>
  </si>
  <si>
    <t>ovofs2+6</t>
  </si>
  <si>
    <t>ovofs2-6</t>
  </si>
  <si>
    <t>ovofs02_6</t>
  </si>
  <si>
    <t>vofs2+7</t>
  </si>
  <si>
    <t>vofs2-7</t>
  </si>
  <si>
    <t>vofs02_7</t>
  </si>
  <si>
    <t>ovofs2+7</t>
  </si>
  <si>
    <t>ovofs2-7</t>
  </si>
  <si>
    <t>ovofs02_7</t>
  </si>
  <si>
    <t>vofs3+1</t>
  </si>
  <si>
    <t>vofs3-1</t>
  </si>
  <si>
    <t>vofs03_1</t>
  </si>
  <si>
    <t>ovofs3+1</t>
  </si>
  <si>
    <t>ovofs3-1</t>
  </si>
  <si>
    <t>ovofs03_1</t>
  </si>
  <si>
    <t>vofs3+2</t>
  </si>
  <si>
    <t>vofs3-2</t>
  </si>
  <si>
    <t>vofs03_2</t>
  </si>
  <si>
    <t>ovofs3+2</t>
  </si>
  <si>
    <t>ovofs3-2</t>
  </si>
  <si>
    <t>ovofs03_2</t>
  </si>
  <si>
    <t>vofs3+3</t>
  </si>
  <si>
    <t>vofs3-3</t>
  </si>
  <si>
    <t>vofs03_3</t>
  </si>
  <si>
    <t>ovofs3+3</t>
  </si>
  <si>
    <t>ovofs3-3</t>
  </si>
  <si>
    <t>ovofs03_3</t>
  </si>
  <si>
    <t>vofs3+4</t>
  </si>
  <si>
    <t>vofs3-4</t>
  </si>
  <si>
    <t>vofs03_4</t>
  </si>
  <si>
    <t>ovofs3+4</t>
  </si>
  <si>
    <t>ovofs3-4</t>
  </si>
  <si>
    <t>ovofs03_4</t>
  </si>
  <si>
    <t>vofs3+5</t>
  </si>
  <si>
    <t>vofs3-5</t>
  </si>
  <si>
    <t>vofs03_5</t>
  </si>
  <si>
    <t>ovofs3+5</t>
  </si>
  <si>
    <t>ovofs3-5</t>
  </si>
  <si>
    <t>ovofs03_5</t>
  </si>
  <si>
    <t>vofs3+6</t>
  </si>
  <si>
    <t>vofs3-6</t>
  </si>
  <si>
    <t>vofs03_6</t>
  </si>
  <si>
    <t>ovofs3+6</t>
  </si>
  <si>
    <t>ovofs3-6</t>
  </si>
  <si>
    <t>ovofs03_6</t>
  </si>
  <si>
    <t>vofs3+7</t>
  </si>
  <si>
    <t>vofs3-7</t>
  </si>
  <si>
    <t>vofs03_7</t>
  </si>
  <si>
    <t>ovofs3+7</t>
  </si>
  <si>
    <t>ovofs3-7</t>
  </si>
  <si>
    <t>ovofs03_7</t>
  </si>
  <si>
    <t>vofs4+1</t>
  </si>
  <si>
    <t>vofs4-1</t>
  </si>
  <si>
    <t>vofs04_1</t>
  </si>
  <si>
    <t>ovofs4+1</t>
  </si>
  <si>
    <t>ovofs4-1</t>
  </si>
  <si>
    <t>ovofs04_1</t>
  </si>
  <si>
    <t>vofs4+2</t>
  </si>
  <si>
    <t>vofs4-2</t>
  </si>
  <si>
    <t>vofs04_2</t>
  </si>
  <si>
    <t>ovofs4+2</t>
  </si>
  <si>
    <t>ovofs4-2</t>
  </si>
  <si>
    <t>ovofs04_2</t>
  </si>
  <si>
    <t>vofs4+3</t>
  </si>
  <si>
    <t>vofs4-3</t>
  </si>
  <si>
    <t>vofs04_3</t>
  </si>
  <si>
    <t>ovofs4+3</t>
  </si>
  <si>
    <t>ovofs4-3</t>
  </si>
  <si>
    <t>ovofs04_3</t>
  </si>
  <si>
    <t>vofs4+4</t>
  </si>
  <si>
    <t>vofs4-4</t>
  </si>
  <si>
    <t>vofs04_4</t>
  </si>
  <si>
    <t>ovofs4+4</t>
  </si>
  <si>
    <t>ovofs4-4</t>
  </si>
  <si>
    <t>ovofs04_4</t>
  </si>
  <si>
    <t>vofs4+5</t>
  </si>
  <si>
    <t>vofs4-5</t>
  </si>
  <si>
    <t>vofs04_5</t>
  </si>
  <si>
    <t>ovofs4+5</t>
  </si>
  <si>
    <t>ovofs4-5</t>
  </si>
  <si>
    <t>ovofs04_5</t>
  </si>
  <si>
    <t>vofs4+6</t>
  </si>
  <si>
    <t>vofs4-6</t>
  </si>
  <si>
    <t>vofs04_6</t>
  </si>
  <si>
    <t>ovofs4+6</t>
  </si>
  <si>
    <t>ovofs4-6</t>
  </si>
  <si>
    <t>ovofs04_6</t>
  </si>
  <si>
    <t>vofs4+7</t>
  </si>
  <si>
    <t>vofs4-7</t>
  </si>
  <si>
    <t>vofs04_7</t>
  </si>
  <si>
    <t>ovofs4+7</t>
  </si>
  <si>
    <t>ovofs4-7</t>
  </si>
  <si>
    <t>ovofs04_7</t>
  </si>
  <si>
    <t>dcv1+1</t>
  </si>
  <si>
    <t>dcv1-1</t>
  </si>
  <si>
    <t>odcv1+1</t>
  </si>
  <si>
    <t>odcv1-1</t>
  </si>
  <si>
    <t>dcv1+2</t>
  </si>
  <si>
    <t>dcv1-2</t>
  </si>
  <si>
    <t>odcv1+2</t>
  </si>
  <si>
    <t>odcv1-2</t>
  </si>
  <si>
    <t>dcv1+3</t>
  </si>
  <si>
    <t>dcv1-3</t>
  </si>
  <si>
    <t>odcv1+3</t>
  </si>
  <si>
    <t>odcv1-3</t>
  </si>
  <si>
    <t>dcv1+4</t>
  </si>
  <si>
    <t>dcv1-4</t>
  </si>
  <si>
    <t>odcv1+4</t>
  </si>
  <si>
    <t>odcv1-4</t>
  </si>
  <si>
    <t>dcv1+5</t>
  </si>
  <si>
    <t>dcv1-5</t>
  </si>
  <si>
    <t>odcv1+5</t>
  </si>
  <si>
    <t>odcv1-5</t>
  </si>
  <si>
    <t>dcv1+6</t>
  </si>
  <si>
    <t>dcv1-6</t>
  </si>
  <si>
    <t>odcv1+6</t>
  </si>
  <si>
    <t>odcv1-6</t>
  </si>
  <si>
    <t>dcv1+7</t>
  </si>
  <si>
    <t>dcv1-7</t>
  </si>
  <si>
    <t>odcv1+7</t>
  </si>
  <si>
    <t>odcv1-7</t>
  </si>
  <si>
    <t>dcv2+1</t>
  </si>
  <si>
    <t>dcv2-1</t>
  </si>
  <si>
    <t>odcv2+1</t>
  </si>
  <si>
    <t>odcv2-1</t>
  </si>
  <si>
    <t>dcv2+2</t>
  </si>
  <si>
    <t>dcv2-2</t>
  </si>
  <si>
    <t>odcv2+2</t>
  </si>
  <si>
    <t>odcv2-2</t>
  </si>
  <si>
    <t>dcv2+3</t>
  </si>
  <si>
    <t>dcv2-3</t>
  </si>
  <si>
    <t>odcv2+3</t>
  </si>
  <si>
    <t>odcv2-3</t>
  </si>
  <si>
    <t>dcv2+4</t>
  </si>
  <si>
    <t>dcv2-4</t>
  </si>
  <si>
    <t>odcv2+4</t>
  </si>
  <si>
    <t>odcv2-4</t>
  </si>
  <si>
    <t>dcv2+5</t>
  </si>
  <si>
    <t>dcv2-5</t>
  </si>
  <si>
    <t>odcv2+5</t>
  </si>
  <si>
    <t>odcv2-5</t>
  </si>
  <si>
    <t>dcv2+6</t>
  </si>
  <si>
    <t>dcv2-6</t>
  </si>
  <si>
    <t>odcv2+6</t>
  </si>
  <si>
    <t>odcv2-6</t>
  </si>
  <si>
    <t>dcv2+7</t>
  </si>
  <si>
    <t>dcv2-7</t>
  </si>
  <si>
    <t>odcv2+7</t>
  </si>
  <si>
    <t>odcv2-7</t>
  </si>
  <si>
    <t>dcv3+1</t>
  </si>
  <si>
    <t>dcv3-1</t>
  </si>
  <si>
    <t>odcv3+1</t>
  </si>
  <si>
    <t>odcv3-1</t>
  </si>
  <si>
    <t>dcv3+2</t>
  </si>
  <si>
    <t>dcv3-2</t>
  </si>
  <si>
    <t>odcv3+2</t>
  </si>
  <si>
    <t>odcv3-2</t>
  </si>
  <si>
    <t>dcv3+3</t>
  </si>
  <si>
    <t>dcv3-3</t>
  </si>
  <si>
    <t>odcv3+3</t>
  </si>
  <si>
    <t>odcv3-3</t>
  </si>
  <si>
    <t>dcv3+4</t>
  </si>
  <si>
    <t>dcv3-4</t>
  </si>
  <si>
    <t>odcv3+4</t>
  </si>
  <si>
    <t>odcv3-4</t>
  </si>
  <si>
    <t>dcv3+5</t>
  </si>
  <si>
    <t>dcv3-5</t>
  </si>
  <si>
    <t>odcv3+5</t>
  </si>
  <si>
    <t>odcv3-5</t>
  </si>
  <si>
    <t>dcv3+6</t>
  </si>
  <si>
    <t>dcv3-6</t>
  </si>
  <si>
    <t>odcv3+6</t>
  </si>
  <si>
    <t>odcv3-6</t>
  </si>
  <si>
    <t>dcv3+7</t>
  </si>
  <si>
    <t>dcv3-7</t>
  </si>
  <si>
    <t>odcv3+7</t>
  </si>
  <si>
    <t>odcv3-7</t>
  </si>
  <si>
    <t>dcv4+1</t>
  </si>
  <si>
    <t>dcv4-1</t>
  </si>
  <si>
    <t>odcv4+1</t>
  </si>
  <si>
    <t>odcv4-1</t>
  </si>
  <si>
    <t>dcv4+2</t>
  </si>
  <si>
    <t>dcv4-2</t>
  </si>
  <si>
    <t>odcv4+2</t>
  </si>
  <si>
    <t>odcv4-2</t>
  </si>
  <si>
    <t>dcv4+3</t>
  </si>
  <si>
    <t>dcv4-3</t>
  </si>
  <si>
    <t>odcv4+3</t>
  </si>
  <si>
    <t>odcv4-3</t>
  </si>
  <si>
    <t>dcv4+4</t>
  </si>
  <si>
    <t>dcv4-4</t>
  </si>
  <si>
    <t>odcv4+4</t>
  </si>
  <si>
    <t>odcv4-4</t>
  </si>
  <si>
    <t>dcv4+5</t>
  </si>
  <si>
    <t>dcv4-5</t>
  </si>
  <si>
    <t>odcv4+5</t>
  </si>
  <si>
    <t>odcv4-5</t>
  </si>
  <si>
    <t>dcv4+6</t>
  </si>
  <si>
    <t>dcv4-6</t>
  </si>
  <si>
    <t>odcv4+6</t>
  </si>
  <si>
    <t>odcv4-6</t>
  </si>
  <si>
    <t>dcv4+7</t>
  </si>
  <si>
    <t>dcv4-7</t>
  </si>
  <si>
    <t>odcv4+7</t>
  </si>
  <si>
    <t>odcv4-7</t>
  </si>
  <si>
    <t>nul1r_1</t>
  </si>
  <si>
    <t>nul3r_1</t>
  </si>
  <si>
    <t>nul1r_2</t>
  </si>
  <si>
    <t>nul1r_3</t>
  </si>
  <si>
    <t>nul1r_4</t>
  </si>
  <si>
    <t>nul3r_2</t>
  </si>
  <si>
    <t>nul3r_3</t>
  </si>
  <si>
    <t>nul3r_4</t>
  </si>
  <si>
    <t>nul1r_5</t>
  </si>
  <si>
    <t>nul3r_5</t>
  </si>
  <si>
    <t>nul1r_6</t>
  </si>
  <si>
    <t>nul3r_6</t>
  </si>
  <si>
    <t>nul1r_7</t>
  </si>
  <si>
    <t>nul3r_7</t>
  </si>
  <si>
    <t>vofs1r+1</t>
  </si>
  <si>
    <t>vofs1r-1</t>
  </si>
  <si>
    <t>vofs01r_1</t>
  </si>
  <si>
    <t>ovofs1r+1</t>
  </si>
  <si>
    <t>ovofs1r-1</t>
  </si>
  <si>
    <t>ovofs01r_1</t>
  </si>
  <si>
    <t>vofs1r+2</t>
  </si>
  <si>
    <t>vofs1r-2</t>
  </si>
  <si>
    <t>vofs01r_2</t>
  </si>
  <si>
    <t>ovofs1r+2</t>
  </si>
  <si>
    <t>ovofs1r-2</t>
  </si>
  <si>
    <t>ovofs01r_2</t>
  </si>
  <si>
    <t>vofs1r+3</t>
  </si>
  <si>
    <t>vofs1r-3</t>
  </si>
  <si>
    <t>vofs01r_3</t>
  </si>
  <si>
    <t>ovofs1r+3</t>
  </si>
  <si>
    <t>ovofs1r-3</t>
  </si>
  <si>
    <t>ovofs01r_3</t>
  </si>
  <si>
    <t>vofs1r+4</t>
  </si>
  <si>
    <t>vofs1r-4</t>
  </si>
  <si>
    <t>vofs01r_4</t>
  </si>
  <si>
    <t>ovofs1r+4</t>
  </si>
  <si>
    <t>ovofs1r-4</t>
  </si>
  <si>
    <t>ovofs01r_4</t>
  </si>
  <si>
    <t>vofs1r+5</t>
  </si>
  <si>
    <t>vofs1r-5</t>
  </si>
  <si>
    <t>vofs01r_5</t>
  </si>
  <si>
    <t>ovofs1r+5</t>
  </si>
  <si>
    <t>ovofs1r-5</t>
  </si>
  <si>
    <t>ovofs01r_5</t>
  </si>
  <si>
    <t>vofs1r+6</t>
  </si>
  <si>
    <t>vofs1r-6</t>
  </si>
  <si>
    <t>vofs01r_6</t>
  </si>
  <si>
    <t>ovofs1r+6</t>
  </si>
  <si>
    <t>ovofs1r-6</t>
  </si>
  <si>
    <t>ovofs01r_6</t>
  </si>
  <si>
    <t>vofs1r+7</t>
  </si>
  <si>
    <t>vofs1r-7</t>
  </si>
  <si>
    <t>vofs01r_7</t>
  </si>
  <si>
    <t>ovofs1r+7</t>
  </si>
  <si>
    <t>ovofs1r-7</t>
  </si>
  <si>
    <t>ovofs01r_7</t>
  </si>
  <si>
    <t>vofs3r+1</t>
  </si>
  <si>
    <t>vofs3r-1</t>
  </si>
  <si>
    <t>vofs03r_1</t>
  </si>
  <si>
    <t>ovofs3r+1</t>
  </si>
  <si>
    <t>ovofs3r-1</t>
  </si>
  <si>
    <t>ovofs03r_1</t>
  </si>
  <si>
    <t>vofs3r+2</t>
  </si>
  <si>
    <t>vofs3r-2</t>
  </si>
  <si>
    <t>vofs03r_2</t>
  </si>
  <si>
    <t>ovofs3r+2</t>
  </si>
  <si>
    <t>ovofs3r-2</t>
  </si>
  <si>
    <t>ovofs03r_2</t>
  </si>
  <si>
    <t>vofs3r+3</t>
  </si>
  <si>
    <t>vofs3r-3</t>
  </si>
  <si>
    <t>vofs03r_3</t>
  </si>
  <si>
    <t>ovofs3r+3</t>
  </si>
  <si>
    <t>ovofs3r-3</t>
  </si>
  <si>
    <t>ovofs03r_3</t>
  </si>
  <si>
    <t>vofs3r+4</t>
  </si>
  <si>
    <t>vofs3r-4</t>
  </si>
  <si>
    <t>vofs03r_4</t>
  </si>
  <si>
    <t>ovofs3r+4</t>
  </si>
  <si>
    <t>ovofs3r-4</t>
  </si>
  <si>
    <t>ovofs03r_4</t>
  </si>
  <si>
    <t>vofs3r+5</t>
  </si>
  <si>
    <t>vofs3r-5</t>
  </si>
  <si>
    <t>vofs03r_5</t>
  </si>
  <si>
    <t>ovofs3r+5</t>
  </si>
  <si>
    <t>ovofs3r-5</t>
  </si>
  <si>
    <t>ovofs03r_5</t>
  </si>
  <si>
    <t>vofs3r+6</t>
  </si>
  <si>
    <t>vofs3r-6</t>
  </si>
  <si>
    <t>vofs03r_6</t>
  </si>
  <si>
    <t>ovofs3r+6</t>
  </si>
  <si>
    <t>ovofs3r-6</t>
  </si>
  <si>
    <t>ovofs03r_6</t>
  </si>
  <si>
    <t>vofs3r+7</t>
  </si>
  <si>
    <t>vofs3r-7</t>
  </si>
  <si>
    <t>vofs03r_7</t>
  </si>
  <si>
    <t>ovofs3r+7</t>
  </si>
  <si>
    <t>ovofs3r-7</t>
  </si>
  <si>
    <t>ovofs03r_7</t>
  </si>
  <si>
    <t>dcv1r+1</t>
  </si>
  <si>
    <t>dcv1r-1</t>
  </si>
  <si>
    <t>odcv1r+1</t>
  </si>
  <si>
    <t>odcv1r-1</t>
  </si>
  <si>
    <t>dcv1r+2</t>
  </si>
  <si>
    <t>dcv1r-2</t>
  </si>
  <si>
    <t>odcv1r+2</t>
  </si>
  <si>
    <t>odcv1r-2</t>
  </si>
  <si>
    <t>dcv1r+3</t>
  </si>
  <si>
    <t>dcv1r-3</t>
  </si>
  <si>
    <t>odcv1r+3</t>
  </si>
  <si>
    <t>odcv1r-3</t>
  </si>
  <si>
    <t>dcv1r+4</t>
  </si>
  <si>
    <t>dcv1r-4</t>
  </si>
  <si>
    <t>odcv1r+4</t>
  </si>
  <si>
    <t>odcv1r-4</t>
  </si>
  <si>
    <t>dcv1r+5</t>
  </si>
  <si>
    <t>dcv1r-5</t>
  </si>
  <si>
    <t>odcv1r+5</t>
  </si>
  <si>
    <t>odcv1r-5</t>
  </si>
  <si>
    <t>dcv1r+6</t>
  </si>
  <si>
    <t>dcv1r-6</t>
  </si>
  <si>
    <t>odcv1r+6</t>
  </si>
  <si>
    <t>odcv1r-6</t>
  </si>
  <si>
    <t>dcv1r+7</t>
  </si>
  <si>
    <t>dcv1r-7</t>
  </si>
  <si>
    <t>odcv1r+7</t>
  </si>
  <si>
    <t>odcv1r-7</t>
  </si>
  <si>
    <t>dcv3r+1</t>
  </si>
  <si>
    <t>dcv3r-1</t>
  </si>
  <si>
    <t>odcv3r+1</t>
  </si>
  <si>
    <t>odcv3r-1</t>
  </si>
  <si>
    <t>dcv3r+2</t>
  </si>
  <si>
    <t>dcv3r-2</t>
  </si>
  <si>
    <t>odcv3r+2</t>
  </si>
  <si>
    <t>odcv3r-2</t>
  </si>
  <si>
    <t>dcv3r+3</t>
  </si>
  <si>
    <t>dcv3r-3</t>
  </si>
  <si>
    <t>odcv3r+3</t>
  </si>
  <si>
    <t>odcv3r-3</t>
  </si>
  <si>
    <t>dcv3r+4</t>
  </si>
  <si>
    <t>dcv3r-4</t>
  </si>
  <si>
    <t>odcv3r+4</t>
  </si>
  <si>
    <t>odcv3r-4</t>
  </si>
  <si>
    <t>dcv3r+5</t>
  </si>
  <si>
    <t>dcv3r-5</t>
  </si>
  <si>
    <t>odcv3r+5</t>
  </si>
  <si>
    <t>odcv3r-5</t>
  </si>
  <si>
    <t>dcv3r+6</t>
  </si>
  <si>
    <t>dcv3r-6</t>
  </si>
  <si>
    <t>odcv3r+6</t>
  </si>
  <si>
    <t>odcv3r-6</t>
  </si>
  <si>
    <t>dcv3r+7</t>
  </si>
  <si>
    <t>dcv3r-7</t>
  </si>
  <si>
    <t>odcv3r+7</t>
  </si>
  <si>
    <t>odcv3r-7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</si>
</sst>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00"/>
    <numFmt numFmtId="166" formatCode="0.00000"/>
    <numFmt numFmtId="167" formatCode="0.0"/>
    <numFmt numFmtId="168" formatCode="0.000000000"/>
  </numFmts>
  <fonts count="17" x14ac:knownFonts="1">
    <font>
      <sz val="10"/>
      <color theme="1"/>
      <name val="Times New Roman"/>
      <family val="2"/>
      <charset val="204"/>
    </font>
    <font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Symbol"/>
      <family val="1"/>
      <charset val="2"/>
    </font>
    <font>
      <vertAlign val="subscript"/>
      <sz val="10"/>
      <name val="Times New Roman"/>
      <family val="1"/>
      <charset val="204"/>
    </font>
    <font>
      <sz val="8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7"/>
      <name val="Times New Roman"/>
      <family val="1"/>
      <charset val="204"/>
    </font>
    <font>
      <vertAlign val="subscript"/>
      <sz val="7"/>
      <name val="Times New Roman"/>
      <family val="1"/>
      <charset val="204"/>
    </font>
    <font>
      <vertAlign val="subscript"/>
      <sz val="10"/>
      <name val="Cambria"/>
      <family val="1"/>
      <charset val="204"/>
    </font>
    <font>
      <b/>
      <i/>
      <sz val="9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/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/>
    <xf numFmtId="0" fontId="3" fillId="0" borderId="0" xfId="0" applyFont="1" applyAlignment="1" applyProtection="1">
      <alignment horizontal="left" vertical="justify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164" fontId="6" fillId="0" borderId="5" xfId="0" applyNumberFormat="1" applyFont="1" applyBorder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vertical="center"/>
      <protection locked="0"/>
    </xf>
    <xf numFmtId="2" fontId="6" fillId="0" borderId="0" xfId="0" applyNumberFormat="1" applyFont="1" applyAlignment="1">
      <alignment vertical="center"/>
    </xf>
    <xf numFmtId="165" fontId="6" fillId="0" borderId="5" xfId="0" applyNumberFormat="1" applyFont="1" applyBorder="1" applyAlignment="1" applyProtection="1">
      <alignment vertical="center"/>
      <protection locked="0"/>
    </xf>
    <xf numFmtId="165" fontId="6" fillId="0" borderId="0" xfId="0" applyNumberFormat="1" applyFont="1" applyAlignment="1" applyProtection="1">
      <alignment vertical="center"/>
      <protection locked="0"/>
    </xf>
    <xf numFmtId="166" fontId="6" fillId="0" borderId="5" xfId="0" applyNumberFormat="1" applyFont="1" applyBorder="1" applyAlignment="1" applyProtection="1">
      <alignment vertical="center"/>
      <protection locked="0"/>
    </xf>
    <xf numFmtId="166" fontId="6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5" fillId="0" borderId="0" xfId="0" applyFont="1"/>
    <xf numFmtId="0" fontId="15" fillId="0" borderId="0" xfId="0" applyFont="1" applyAlignment="1">
      <alignment horizontal="left"/>
    </xf>
    <xf numFmtId="0" fontId="6" fillId="0" borderId="0" xfId="0" applyFont="1"/>
    <xf numFmtId="0" fontId="14" fillId="0" borderId="0" xfId="0" applyFont="1" applyAlignment="1">
      <alignment wrapText="1"/>
    </xf>
    <xf numFmtId="2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 applyProtection="1">
      <protection locked="0"/>
    </xf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3" fillId="0" borderId="14" xfId="0" applyFont="1" applyBorder="1"/>
    <xf numFmtId="0" fontId="3" fillId="0" borderId="14" xfId="0" applyFont="1" applyBorder="1" applyAlignment="1">
      <alignment horizontal="right"/>
    </xf>
    <xf numFmtId="0" fontId="3" fillId="0" borderId="0" xfId="0" applyFont="1" applyBorder="1"/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>
      <alignment horizontal="right"/>
    </xf>
    <xf numFmtId="0" fontId="6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3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</xf>
    <xf numFmtId="2" fontId="6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6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8" fontId="6" fillId="0" borderId="1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left" vertical="justify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7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9" xfId="0" applyNumberFormat="1" applyFont="1" applyBorder="1" applyAlignment="1" applyProtection="1">
      <alignment horizontal="center" vertical="center"/>
      <protection locked="0"/>
    </xf>
    <xf numFmtId="164" fontId="3" fillId="0" borderId="10" xfId="0" applyNumberFormat="1" applyFont="1" applyBorder="1" applyAlignment="1" applyProtection="1">
      <alignment horizontal="center" vertical="center"/>
      <protection locked="0"/>
    </xf>
    <xf numFmtId="164" fontId="3" fillId="0" borderId="5" xfId="0" applyNumberFormat="1" applyFont="1" applyBorder="1" applyAlignment="1" applyProtection="1">
      <alignment horizontal="center" vertical="center"/>
      <protection locked="0"/>
    </xf>
    <xf numFmtId="164" fontId="3" fillId="0" borderId="11" xfId="0" applyNumberFormat="1" applyFont="1" applyBorder="1" applyAlignment="1" applyProtection="1">
      <alignment horizontal="center" vertical="center"/>
      <protection locked="0"/>
    </xf>
    <xf numFmtId="164" fontId="3" fillId="0" borderId="12" xfId="0" applyNumberFormat="1" applyFont="1" applyBorder="1" applyAlignment="1" applyProtection="1">
      <alignment horizontal="center" vertical="center"/>
      <protection locked="0"/>
    </xf>
    <xf numFmtId="164" fontId="3" fillId="0" borderId="13" xfId="0" applyNumberFormat="1" applyFont="1" applyBorder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2"/>
  <sheetViews>
    <sheetView tabSelected="1" view="pageLayout" zoomScaleNormal="100" workbookViewId="0">
      <selection sqref="A1:T1"/>
    </sheetView>
  </sheetViews>
  <sheetFormatPr defaultRowHeight="12.75" x14ac:dyDescent="0.2"/>
  <cols>
    <col min="1" max="5" width="7.5" customWidth="1"/>
    <col min="6" max="17" width="7" customWidth="1"/>
    <col min="18" max="20" width="11" customWidth="1"/>
  </cols>
  <sheetData>
    <row r="1" spans="1:20" ht="74.25" customHeight="1" x14ac:dyDescent="0.2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</row>
    <row r="2" spans="1:20" s="2" customFormat="1" ht="6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0" s="2" customFormat="1" ht="12.75" customHeight="1" x14ac:dyDescent="0.2">
      <c r="A3" s="34" t="s">
        <v>95</v>
      </c>
      <c r="B3" s="34"/>
      <c r="C3" s="34"/>
      <c r="D3" s="34"/>
      <c r="E3" s="34"/>
      <c r="F3" s="34"/>
      <c r="G3" s="34"/>
      <c r="H3" s="34"/>
      <c r="I3" s="34"/>
      <c r="J3" s="27" t="str">
        <f>"№ 10/"&amp;J131&amp;"/"&amp;F6</f>
        <v>№ 10//_numb</v>
      </c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0" s="2" customFormat="1" ht="4.5" customHeight="1" x14ac:dyDescent="0.2">
      <c r="A4" s="3"/>
      <c r="B4" s="3"/>
      <c r="C4" s="3"/>
      <c r="D4" s="3"/>
      <c r="E4" s="3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20" ht="12.75" customHeight="1" x14ac:dyDescent="0.25">
      <c r="A5" s="73" t="s">
        <v>67</v>
      </c>
      <c r="B5" s="73"/>
      <c r="C5" s="73"/>
      <c r="D5" s="73"/>
      <c r="E5" s="74"/>
      <c r="F5" s="28" t="s">
        <v>96</v>
      </c>
      <c r="G5" s="29"/>
      <c r="H5" s="29" t="s">
        <v>97</v>
      </c>
      <c r="I5" s="29"/>
      <c r="J5" s="30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spans="1:20" ht="12.75" customHeight="1" x14ac:dyDescent="0.25">
      <c r="A6" s="73" t="s">
        <v>68</v>
      </c>
      <c r="B6" s="73"/>
      <c r="C6" s="73"/>
      <c r="D6" s="73"/>
      <c r="E6" s="73"/>
      <c r="F6" s="76" t="s">
        <v>98</v>
      </c>
      <c r="G6" s="76"/>
      <c r="H6" s="76"/>
      <c r="I6" s="76"/>
      <c r="J6" s="76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0" ht="12.75" customHeight="1" x14ac:dyDescent="0.25">
      <c r="A7" s="73" t="s">
        <v>69</v>
      </c>
      <c r="B7" s="73"/>
      <c r="C7" s="73"/>
      <c r="D7" s="73"/>
      <c r="E7" s="73"/>
      <c r="F7" s="77" t="s">
        <v>70</v>
      </c>
      <c r="G7" s="77"/>
      <c r="H7" s="77"/>
      <c r="I7" s="77"/>
      <c r="J7" s="77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0" ht="12.75" customHeight="1" x14ac:dyDescent="0.2">
      <c r="A8" s="75" t="s">
        <v>76</v>
      </c>
      <c r="B8" s="75"/>
      <c r="C8" s="75"/>
      <c r="D8" s="75"/>
      <c r="E8" s="75"/>
      <c r="F8" s="72" t="s">
        <v>77</v>
      </c>
      <c r="G8" s="72"/>
      <c r="H8" s="72"/>
      <c r="I8" s="72"/>
      <c r="J8" s="72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s="2" customFormat="1" ht="8.25" customHeight="1" x14ac:dyDescent="0.2">
      <c r="A9" s="4"/>
      <c r="B9" s="4"/>
      <c r="C9" s="4"/>
      <c r="D9" s="4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20" s="2" customFormat="1" x14ac:dyDescent="0.2">
      <c r="A10" s="4" t="s">
        <v>78</v>
      </c>
      <c r="B10" s="4"/>
      <c r="C10" s="4"/>
      <c r="D10" s="4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0" s="2" customFormat="1" ht="6" customHeight="1" x14ac:dyDescent="0.2">
      <c r="A11" s="4"/>
      <c r="B11" s="4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20" s="2" customFormat="1" ht="26.25" customHeight="1" x14ac:dyDescent="0.2">
      <c r="A12" s="39" t="s">
        <v>1</v>
      </c>
      <c r="B12" s="39"/>
      <c r="C12" s="39"/>
      <c r="D12" s="39"/>
      <c r="E12" s="39"/>
      <c r="F12" s="39"/>
      <c r="G12" s="39"/>
      <c r="H12" s="39"/>
      <c r="I12" s="43" t="s">
        <v>2</v>
      </c>
      <c r="J12" s="43"/>
      <c r="K12" s="43"/>
      <c r="L12" s="43" t="s">
        <v>28</v>
      </c>
      <c r="M12" s="43"/>
    </row>
    <row r="13" spans="1:20" s="2" customFormat="1" ht="14.25" customHeight="1" x14ac:dyDescent="0.2">
      <c r="A13" s="68" t="s">
        <v>3</v>
      </c>
      <c r="B13" s="68"/>
      <c r="C13" s="68"/>
      <c r="D13" s="68"/>
      <c r="E13" s="68"/>
      <c r="F13" s="68"/>
      <c r="G13" s="68"/>
      <c r="H13" s="68"/>
      <c r="I13" s="69" t="s">
        <v>99</v>
      </c>
      <c r="J13" s="69"/>
      <c r="K13" s="69"/>
      <c r="L13" s="39" t="s">
        <v>79</v>
      </c>
      <c r="M13" s="39"/>
    </row>
    <row r="14" spans="1:20" s="2" customFormat="1" ht="14.25" customHeight="1" x14ac:dyDescent="0.2">
      <c r="A14" s="68" t="s">
        <v>23</v>
      </c>
      <c r="B14" s="68"/>
      <c r="C14" s="68"/>
      <c r="D14" s="68"/>
      <c r="E14" s="68"/>
      <c r="F14" s="68"/>
      <c r="G14" s="68"/>
      <c r="H14" s="68"/>
      <c r="I14" s="69" t="s">
        <v>100</v>
      </c>
      <c r="J14" s="69"/>
      <c r="K14" s="69"/>
      <c r="L14" s="39" t="s">
        <v>80</v>
      </c>
      <c r="M14" s="39"/>
    </row>
    <row r="15" spans="1:20" s="2" customFormat="1" ht="14.25" customHeight="1" x14ac:dyDescent="0.2">
      <c r="A15" s="68" t="s">
        <v>4</v>
      </c>
      <c r="B15" s="68"/>
      <c r="C15" s="68"/>
      <c r="D15" s="68"/>
      <c r="E15" s="68"/>
      <c r="F15" s="68"/>
      <c r="G15" s="68"/>
      <c r="H15" s="68"/>
      <c r="I15" s="69" t="s">
        <v>101</v>
      </c>
      <c r="J15" s="69"/>
      <c r="K15" s="69"/>
      <c r="L15" s="39" t="s">
        <v>81</v>
      </c>
      <c r="M15" s="39"/>
    </row>
    <row r="16" spans="1:20" s="2" customFormat="1" ht="14.25" customHeight="1" x14ac:dyDescent="0.2">
      <c r="A16" s="68" t="s">
        <v>27</v>
      </c>
      <c r="B16" s="68"/>
      <c r="C16" s="68"/>
      <c r="D16" s="68"/>
      <c r="E16" s="68"/>
      <c r="F16" s="68"/>
      <c r="G16" s="68"/>
      <c r="H16" s="68"/>
      <c r="I16" s="69">
        <v>220.1</v>
      </c>
      <c r="J16" s="69"/>
      <c r="K16" s="69"/>
      <c r="L16" s="39" t="s">
        <v>82</v>
      </c>
      <c r="M16" s="39"/>
    </row>
    <row r="17" spans="1:17" s="2" customFormat="1" ht="14.25" customHeight="1" x14ac:dyDescent="0.2">
      <c r="A17" s="68" t="s">
        <v>29</v>
      </c>
      <c r="B17" s="68"/>
      <c r="C17" s="68"/>
      <c r="D17" s="68"/>
      <c r="E17" s="68"/>
      <c r="F17" s="68"/>
      <c r="G17" s="68"/>
      <c r="H17" s="68"/>
      <c r="I17" s="78">
        <v>50</v>
      </c>
      <c r="J17" s="78"/>
      <c r="K17" s="78"/>
      <c r="L17" s="39" t="s">
        <v>83</v>
      </c>
      <c r="M17" s="39"/>
    </row>
    <row r="18" spans="1:17" s="2" customFormat="1" ht="5.25" customHeight="1" x14ac:dyDescent="0.2">
      <c r="A18" s="21"/>
      <c r="B18" s="21"/>
      <c r="C18" s="21"/>
      <c r="D18" s="21"/>
      <c r="E18" s="21"/>
      <c r="F18" s="21"/>
      <c r="G18" s="21"/>
      <c r="H18" s="21"/>
      <c r="I18" s="9"/>
      <c r="J18" s="9"/>
      <c r="K18" s="9"/>
      <c r="L18" s="10"/>
      <c r="M18" s="10"/>
    </row>
    <row r="19" spans="1:17" ht="12.75" customHeight="1" x14ac:dyDescent="0.25">
      <c r="A19" s="79" t="s">
        <v>84</v>
      </c>
      <c r="B19" s="79"/>
      <c r="C19" s="79"/>
      <c r="D19" s="79"/>
      <c r="E19" s="79"/>
      <c r="F19" s="79"/>
      <c r="G19" s="79"/>
      <c r="H19" s="79"/>
      <c r="I19" s="79"/>
      <c r="J19" s="22"/>
    </row>
    <row r="20" spans="1:17" ht="6.75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2"/>
    </row>
    <row r="21" spans="1:17" s="2" customFormat="1" ht="13.5" x14ac:dyDescent="0.25">
      <c r="A21" s="4" t="s">
        <v>85</v>
      </c>
      <c r="B21" s="4"/>
      <c r="C21" s="4"/>
      <c r="D21" s="4"/>
      <c r="E21" s="4"/>
      <c r="F21" s="5"/>
      <c r="G21" s="6"/>
      <c r="H21" s="1"/>
      <c r="I21" s="1"/>
      <c r="J21" s="1"/>
      <c r="K21" s="1"/>
      <c r="L21" s="1"/>
      <c r="M21" s="1"/>
      <c r="N21" s="1"/>
      <c r="O21" s="1"/>
      <c r="P21" s="1"/>
    </row>
    <row r="22" spans="1:17" s="2" customFormat="1" ht="6" customHeight="1" x14ac:dyDescent="0.2">
      <c r="A22" s="4"/>
      <c r="B22" s="4"/>
      <c r="C22" s="4"/>
      <c r="D22" s="4"/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7" s="2" customFormat="1" ht="13.5" x14ac:dyDescent="0.25">
      <c r="A23" s="4" t="s">
        <v>86</v>
      </c>
      <c r="B23" s="4"/>
      <c r="C23" s="4"/>
      <c r="D23" s="4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7" s="2" customFormat="1" ht="6" customHeight="1" x14ac:dyDescent="0.2">
      <c r="A24" s="4"/>
      <c r="B24" s="4"/>
      <c r="C24" s="4"/>
      <c r="D24" s="4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7" s="2" customFormat="1" ht="12.75" customHeight="1" x14ac:dyDescent="0.25">
      <c r="A25" s="4" t="s">
        <v>87</v>
      </c>
      <c r="B25" s="4"/>
      <c r="C25" s="4"/>
      <c r="D25" s="4"/>
      <c r="E25" s="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7" s="2" customFormat="1" ht="5.25" customHeight="1" x14ac:dyDescent="0.2">
      <c r="A26" s="4"/>
      <c r="B26" s="4"/>
      <c r="C26" s="4"/>
      <c r="D26" s="4"/>
      <c r="E26" s="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7" s="7" customFormat="1" x14ac:dyDescent="0.2">
      <c r="A27" s="4" t="s">
        <v>88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7" s="7" customFormat="1" ht="5.2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7" s="7" customFormat="1" x14ac:dyDescent="0.2">
      <c r="A29" s="4" t="s">
        <v>89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7" s="7" customFormat="1" ht="6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7" s="7" customFormat="1" ht="12.75" customHeight="1" x14ac:dyDescent="0.2">
      <c r="A31" s="43" t="s">
        <v>39</v>
      </c>
      <c r="B31" s="43"/>
      <c r="C31" s="43"/>
      <c r="D31" s="43" t="s">
        <v>24</v>
      </c>
      <c r="E31" s="70"/>
      <c r="F31" s="53" t="s">
        <v>13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5"/>
    </row>
    <row r="32" spans="1:17" s="7" customFormat="1" x14ac:dyDescent="0.2">
      <c r="A32" s="43"/>
      <c r="B32" s="43"/>
      <c r="C32" s="43"/>
      <c r="D32" s="43"/>
      <c r="E32" s="70"/>
      <c r="F32" s="56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8"/>
    </row>
    <row r="33" spans="1:20" s="7" customFormat="1" ht="16.5" customHeight="1" x14ac:dyDescent="0.2">
      <c r="A33" s="43"/>
      <c r="B33" s="43"/>
      <c r="C33" s="43"/>
      <c r="D33" s="43"/>
      <c r="E33" s="43"/>
      <c r="F33" s="51" t="s">
        <v>14</v>
      </c>
      <c r="G33" s="51"/>
      <c r="H33" s="51" t="s">
        <v>15</v>
      </c>
      <c r="I33" s="51"/>
      <c r="J33" s="51" t="s">
        <v>16</v>
      </c>
      <c r="K33" s="51"/>
      <c r="L33" s="51" t="s">
        <v>17</v>
      </c>
      <c r="M33" s="51"/>
      <c r="N33" s="51" t="s">
        <v>72</v>
      </c>
      <c r="O33" s="51"/>
      <c r="P33" s="51" t="s">
        <v>73</v>
      </c>
      <c r="Q33" s="51"/>
    </row>
    <row r="34" spans="1:20" s="7" customFormat="1" ht="13.5" x14ac:dyDescent="0.25">
      <c r="A34" s="59" t="s">
        <v>30</v>
      </c>
      <c r="B34" s="60"/>
      <c r="C34" s="61"/>
      <c r="D34" s="62" t="s">
        <v>18</v>
      </c>
      <c r="E34" s="62"/>
      <c r="F34" s="52" t="s">
        <v>109</v>
      </c>
      <c r="G34" s="52"/>
      <c r="H34" s="52" t="s">
        <v>110</v>
      </c>
      <c r="I34" s="52"/>
      <c r="J34" s="52" t="s">
        <v>111</v>
      </c>
      <c r="K34" s="52"/>
      <c r="L34" s="52" t="s">
        <v>112</v>
      </c>
      <c r="M34" s="52"/>
      <c r="N34" s="52" t="s">
        <v>417</v>
      </c>
      <c r="O34" s="52"/>
      <c r="P34" s="52" t="s">
        <v>418</v>
      </c>
      <c r="Q34" s="52"/>
    </row>
    <row r="35" spans="1:20" s="7" customFormat="1" ht="13.5" x14ac:dyDescent="0.25">
      <c r="A35" s="59" t="s">
        <v>31</v>
      </c>
      <c r="B35" s="60"/>
      <c r="C35" s="61"/>
      <c r="D35" s="62" t="s">
        <v>19</v>
      </c>
      <c r="E35" s="62"/>
      <c r="F35" s="52" t="s">
        <v>113</v>
      </c>
      <c r="G35" s="52"/>
      <c r="H35" s="52" t="s">
        <v>116</v>
      </c>
      <c r="I35" s="52"/>
      <c r="J35" s="52" t="s">
        <v>119</v>
      </c>
      <c r="K35" s="52"/>
      <c r="L35" s="52" t="s">
        <v>122</v>
      </c>
      <c r="M35" s="52"/>
      <c r="N35" s="52" t="s">
        <v>419</v>
      </c>
      <c r="O35" s="52"/>
      <c r="P35" s="52" t="s">
        <v>422</v>
      </c>
      <c r="Q35" s="52"/>
    </row>
    <row r="36" spans="1:20" s="7" customFormat="1" ht="13.5" x14ac:dyDescent="0.25">
      <c r="A36" s="59" t="s">
        <v>32</v>
      </c>
      <c r="B36" s="60"/>
      <c r="C36" s="61"/>
      <c r="D36" s="62" t="s">
        <v>37</v>
      </c>
      <c r="E36" s="62"/>
      <c r="F36" s="52" t="s">
        <v>114</v>
      </c>
      <c r="G36" s="52"/>
      <c r="H36" s="52" t="s">
        <v>117</v>
      </c>
      <c r="I36" s="52"/>
      <c r="J36" s="52" t="s">
        <v>120</v>
      </c>
      <c r="K36" s="52"/>
      <c r="L36" s="52" t="s">
        <v>123</v>
      </c>
      <c r="M36" s="52"/>
      <c r="N36" s="52" t="s">
        <v>420</v>
      </c>
      <c r="O36" s="52"/>
      <c r="P36" s="52" t="s">
        <v>423</v>
      </c>
      <c r="Q36" s="52"/>
    </row>
    <row r="37" spans="1:20" s="7" customFormat="1" ht="13.5" x14ac:dyDescent="0.25">
      <c r="A37" s="59" t="s">
        <v>33</v>
      </c>
      <c r="B37" s="60"/>
      <c r="C37" s="61"/>
      <c r="D37" s="62" t="s">
        <v>38</v>
      </c>
      <c r="E37" s="62"/>
      <c r="F37" s="52" t="s">
        <v>115</v>
      </c>
      <c r="G37" s="52"/>
      <c r="H37" s="52" t="s">
        <v>118</v>
      </c>
      <c r="I37" s="52"/>
      <c r="J37" s="52" t="s">
        <v>121</v>
      </c>
      <c r="K37" s="52"/>
      <c r="L37" s="52" t="s">
        <v>124</v>
      </c>
      <c r="M37" s="52"/>
      <c r="N37" s="52" t="s">
        <v>421</v>
      </c>
      <c r="O37" s="52"/>
      <c r="P37" s="52" t="s">
        <v>424</v>
      </c>
      <c r="Q37" s="52"/>
    </row>
    <row r="38" spans="1:20" s="7" customFormat="1" ht="12.75" customHeight="1" x14ac:dyDescent="0.2">
      <c r="A38" s="43" t="s">
        <v>39</v>
      </c>
      <c r="B38" s="43"/>
      <c r="C38" s="43"/>
      <c r="D38" s="43" t="s">
        <v>24</v>
      </c>
      <c r="E38" s="70"/>
      <c r="F38" s="53" t="s">
        <v>13</v>
      </c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5"/>
    </row>
    <row r="39" spans="1:20" s="7" customFormat="1" x14ac:dyDescent="0.2">
      <c r="A39" s="43"/>
      <c r="B39" s="43"/>
      <c r="C39" s="43"/>
      <c r="D39" s="43"/>
      <c r="E39" s="70"/>
      <c r="F39" s="56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8"/>
    </row>
    <row r="40" spans="1:20" s="7" customFormat="1" ht="16.5" customHeight="1" x14ac:dyDescent="0.2">
      <c r="A40" s="43"/>
      <c r="B40" s="43"/>
      <c r="C40" s="43"/>
      <c r="D40" s="43"/>
      <c r="E40" s="43"/>
      <c r="F40" s="51" t="s">
        <v>14</v>
      </c>
      <c r="G40" s="51"/>
      <c r="H40" s="51" t="s">
        <v>15</v>
      </c>
      <c r="I40" s="51"/>
      <c r="J40" s="51" t="s">
        <v>16</v>
      </c>
      <c r="K40" s="51"/>
      <c r="L40" s="51" t="s">
        <v>17</v>
      </c>
      <c r="M40" s="51"/>
      <c r="N40" s="51" t="s">
        <v>72</v>
      </c>
      <c r="O40" s="51"/>
      <c r="P40" s="51" t="s">
        <v>73</v>
      </c>
      <c r="Q40" s="51"/>
    </row>
    <row r="41" spans="1:20" s="7" customFormat="1" ht="13.5" x14ac:dyDescent="0.25">
      <c r="A41" s="59" t="s">
        <v>34</v>
      </c>
      <c r="B41" s="60"/>
      <c r="C41" s="61"/>
      <c r="D41" s="62" t="s">
        <v>20</v>
      </c>
      <c r="E41" s="62"/>
      <c r="F41" s="52" t="s">
        <v>125</v>
      </c>
      <c r="G41" s="52"/>
      <c r="H41" s="52" t="s">
        <v>126</v>
      </c>
      <c r="I41" s="52"/>
      <c r="J41" s="52" t="s">
        <v>127</v>
      </c>
      <c r="K41" s="52"/>
      <c r="L41" s="52" t="s">
        <v>128</v>
      </c>
      <c r="M41" s="52"/>
      <c r="N41" s="52" t="s">
        <v>425</v>
      </c>
      <c r="O41" s="52"/>
      <c r="P41" s="52" t="s">
        <v>426</v>
      </c>
      <c r="Q41" s="52"/>
    </row>
    <row r="42" spans="1:20" s="7" customFormat="1" ht="13.5" x14ac:dyDescent="0.25">
      <c r="A42" s="59" t="s">
        <v>35</v>
      </c>
      <c r="B42" s="60"/>
      <c r="C42" s="61"/>
      <c r="D42" s="62" t="s">
        <v>21</v>
      </c>
      <c r="E42" s="62"/>
      <c r="F42" s="52" t="s">
        <v>129</v>
      </c>
      <c r="G42" s="52"/>
      <c r="H42" s="52" t="s">
        <v>131</v>
      </c>
      <c r="I42" s="52"/>
      <c r="J42" s="52" t="s">
        <v>133</v>
      </c>
      <c r="K42" s="52"/>
      <c r="L42" s="52" t="s">
        <v>135</v>
      </c>
      <c r="M42" s="52"/>
      <c r="N42" s="52" t="s">
        <v>427</v>
      </c>
      <c r="O42" s="52"/>
      <c r="P42" s="52" t="s">
        <v>428</v>
      </c>
      <c r="Q42" s="52"/>
    </row>
    <row r="43" spans="1:20" s="7" customFormat="1" ht="13.5" x14ac:dyDescent="0.25">
      <c r="A43" s="59" t="s">
        <v>36</v>
      </c>
      <c r="B43" s="60"/>
      <c r="C43" s="61"/>
      <c r="D43" s="62" t="s">
        <v>22</v>
      </c>
      <c r="E43" s="62"/>
      <c r="F43" s="52" t="s">
        <v>130</v>
      </c>
      <c r="G43" s="52"/>
      <c r="H43" s="52" t="s">
        <v>132</v>
      </c>
      <c r="I43" s="52"/>
      <c r="J43" s="52" t="s">
        <v>134</v>
      </c>
      <c r="K43" s="52"/>
      <c r="L43" s="52" t="s">
        <v>136</v>
      </c>
      <c r="M43" s="52"/>
      <c r="N43" s="52" t="s">
        <v>429</v>
      </c>
      <c r="O43" s="52"/>
      <c r="P43" s="52" t="s">
        <v>430</v>
      </c>
      <c r="Q43" s="52"/>
    </row>
    <row r="44" spans="1:20" s="7" customFormat="1" ht="3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20" s="7" customFormat="1" x14ac:dyDescent="0.2">
      <c r="A45" s="4" t="s">
        <v>90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20" s="7" customFormat="1" ht="4.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20" s="7" customFormat="1" ht="12.75" customHeight="1" x14ac:dyDescent="0.2">
      <c r="A47" s="43" t="s">
        <v>5</v>
      </c>
      <c r="B47" s="43" t="s">
        <v>6</v>
      </c>
      <c r="C47" s="43"/>
      <c r="D47" s="67" t="s">
        <v>40</v>
      </c>
      <c r="E47" s="67"/>
      <c r="F47" s="43" t="s">
        <v>45</v>
      </c>
      <c r="G47" s="43"/>
      <c r="H47" s="43" t="s">
        <v>46</v>
      </c>
      <c r="I47" s="43"/>
      <c r="J47" s="43" t="s">
        <v>47</v>
      </c>
      <c r="K47" s="43"/>
      <c r="L47" s="43" t="s">
        <v>44</v>
      </c>
      <c r="M47" s="43"/>
      <c r="N47" s="43" t="s">
        <v>48</v>
      </c>
      <c r="O47" s="43"/>
      <c r="P47" s="43" t="s">
        <v>49</v>
      </c>
      <c r="Q47" s="43"/>
      <c r="R47" s="71" t="s">
        <v>50</v>
      </c>
      <c r="S47" s="71" t="s">
        <v>51</v>
      </c>
      <c r="T47" s="71" t="s">
        <v>52</v>
      </c>
    </row>
    <row r="48" spans="1:20" s="7" customFormat="1" x14ac:dyDescent="0.2">
      <c r="A48" s="43"/>
      <c r="B48" s="43"/>
      <c r="C48" s="43"/>
      <c r="D48" s="67"/>
      <c r="E48" s="67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71"/>
      <c r="S48" s="71"/>
      <c r="T48" s="71"/>
    </row>
    <row r="49" spans="1:20" s="7" customFormat="1" ht="55.5" customHeight="1" x14ac:dyDescent="0.2">
      <c r="A49" s="43"/>
      <c r="B49" s="43"/>
      <c r="C49" s="43"/>
      <c r="D49" s="67"/>
      <c r="E49" s="67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71"/>
      <c r="S49" s="71"/>
      <c r="T49" s="71"/>
    </row>
    <row r="50" spans="1:20" s="7" customFormat="1" ht="13.5" customHeight="1" x14ac:dyDescent="0.2">
      <c r="A50" s="39">
        <v>1</v>
      </c>
      <c r="B50" s="39" t="s">
        <v>36</v>
      </c>
      <c r="C50" s="39"/>
      <c r="D50" s="39" t="s">
        <v>25</v>
      </c>
      <c r="E50" s="39"/>
      <c r="F50" s="44" t="s">
        <v>137</v>
      </c>
      <c r="G50" s="44"/>
      <c r="H50" s="44" t="s">
        <v>138</v>
      </c>
      <c r="I50" s="44"/>
      <c r="J50" s="44" t="s">
        <v>139</v>
      </c>
      <c r="K50" s="44"/>
      <c r="L50" s="44" t="s">
        <v>140</v>
      </c>
      <c r="M50" s="44"/>
      <c r="N50" s="45" t="s">
        <v>141</v>
      </c>
      <c r="O50" s="44"/>
      <c r="P50" s="44" t="s">
        <v>142</v>
      </c>
      <c r="Q50" s="44"/>
      <c r="R50" s="26" t="e">
        <f>((L50-P50)/(F50-J50)-1)*100</f>
        <v>#VALUE!</v>
      </c>
      <c r="S50" s="26" t="e">
        <f>((N50-P50)/(H50-J50)-1)*100</f>
        <v>#VALUE!</v>
      </c>
      <c r="T50" s="80" t="s">
        <v>71</v>
      </c>
    </row>
    <row r="51" spans="1:20" s="7" customFormat="1" ht="13.5" customHeight="1" x14ac:dyDescent="0.2">
      <c r="A51" s="39"/>
      <c r="B51" s="39" t="s">
        <v>35</v>
      </c>
      <c r="C51" s="39"/>
      <c r="D51" s="39" t="s">
        <v>25</v>
      </c>
      <c r="E51" s="39"/>
      <c r="F51" s="44" t="s">
        <v>143</v>
      </c>
      <c r="G51" s="44"/>
      <c r="H51" s="44" t="s">
        <v>144</v>
      </c>
      <c r="I51" s="44"/>
      <c r="J51" s="44" t="s">
        <v>145</v>
      </c>
      <c r="K51" s="44"/>
      <c r="L51" s="44" t="s">
        <v>146</v>
      </c>
      <c r="M51" s="44"/>
      <c r="N51" s="45" t="s">
        <v>147</v>
      </c>
      <c r="O51" s="44"/>
      <c r="P51" s="44" t="s">
        <v>148</v>
      </c>
      <c r="Q51" s="44"/>
      <c r="R51" s="26" t="e">
        <f t="shared" ref="R51:R80" si="0">((L51-P51)/(F51-J51)-1)*100</f>
        <v>#VALUE!</v>
      </c>
      <c r="S51" s="26" t="e">
        <f t="shared" ref="S51:S80" si="1">((N51-P51)/(H51-J51)-1)*100</f>
        <v>#VALUE!</v>
      </c>
      <c r="T51" s="81"/>
    </row>
    <row r="52" spans="1:20" s="7" customFormat="1" ht="13.5" customHeight="1" x14ac:dyDescent="0.2">
      <c r="A52" s="39"/>
      <c r="B52" s="39" t="s">
        <v>34</v>
      </c>
      <c r="C52" s="39"/>
      <c r="D52" s="39" t="s">
        <v>41</v>
      </c>
      <c r="E52" s="39"/>
      <c r="F52" s="44" t="s">
        <v>149</v>
      </c>
      <c r="G52" s="44"/>
      <c r="H52" s="44" t="s">
        <v>150</v>
      </c>
      <c r="I52" s="44"/>
      <c r="J52" s="44" t="s">
        <v>151</v>
      </c>
      <c r="K52" s="44"/>
      <c r="L52" s="44" t="s">
        <v>152</v>
      </c>
      <c r="M52" s="44"/>
      <c r="N52" s="45" t="s">
        <v>153</v>
      </c>
      <c r="O52" s="44"/>
      <c r="P52" s="44" t="s">
        <v>154</v>
      </c>
      <c r="Q52" s="44"/>
      <c r="R52" s="26" t="e">
        <f t="shared" si="0"/>
        <v>#VALUE!</v>
      </c>
      <c r="S52" s="26" t="e">
        <f t="shared" si="1"/>
        <v>#VALUE!</v>
      </c>
      <c r="T52" s="81"/>
    </row>
    <row r="53" spans="1:20" s="7" customFormat="1" ht="13.5" customHeight="1" x14ac:dyDescent="0.2">
      <c r="A53" s="39"/>
      <c r="B53" s="39" t="s">
        <v>33</v>
      </c>
      <c r="C53" s="39"/>
      <c r="D53" s="39" t="s">
        <v>26</v>
      </c>
      <c r="E53" s="39"/>
      <c r="F53" s="44" t="s">
        <v>155</v>
      </c>
      <c r="G53" s="44"/>
      <c r="H53" s="44" t="s">
        <v>156</v>
      </c>
      <c r="I53" s="44"/>
      <c r="J53" s="44" t="s">
        <v>157</v>
      </c>
      <c r="K53" s="44"/>
      <c r="L53" s="44" t="s">
        <v>158</v>
      </c>
      <c r="M53" s="44"/>
      <c r="N53" s="45" t="s">
        <v>159</v>
      </c>
      <c r="O53" s="44"/>
      <c r="P53" s="44" t="s">
        <v>160</v>
      </c>
      <c r="Q53" s="44"/>
      <c r="R53" s="26" t="e">
        <f t="shared" si="0"/>
        <v>#VALUE!</v>
      </c>
      <c r="S53" s="26" t="e">
        <f t="shared" si="1"/>
        <v>#VALUE!</v>
      </c>
      <c r="T53" s="81"/>
    </row>
    <row r="54" spans="1:20" s="7" customFormat="1" ht="13.5" customHeight="1" x14ac:dyDescent="0.2">
      <c r="A54" s="39"/>
      <c r="B54" s="39" t="s">
        <v>32</v>
      </c>
      <c r="C54" s="39"/>
      <c r="D54" s="39" t="s">
        <v>42</v>
      </c>
      <c r="E54" s="39"/>
      <c r="F54" s="44" t="s">
        <v>161</v>
      </c>
      <c r="G54" s="44"/>
      <c r="H54" s="44" t="s">
        <v>162</v>
      </c>
      <c r="I54" s="44"/>
      <c r="J54" s="44" t="s">
        <v>163</v>
      </c>
      <c r="K54" s="44"/>
      <c r="L54" s="44" t="s">
        <v>164</v>
      </c>
      <c r="M54" s="44"/>
      <c r="N54" s="45" t="s">
        <v>165</v>
      </c>
      <c r="O54" s="44"/>
      <c r="P54" s="44" t="s">
        <v>166</v>
      </c>
      <c r="Q54" s="44"/>
      <c r="R54" s="26" t="e">
        <f t="shared" si="0"/>
        <v>#VALUE!</v>
      </c>
      <c r="S54" s="26" t="e">
        <f t="shared" si="1"/>
        <v>#VALUE!</v>
      </c>
      <c r="T54" s="81"/>
    </row>
    <row r="55" spans="1:20" s="7" customFormat="1" ht="13.5" customHeight="1" x14ac:dyDescent="0.2">
      <c r="A55" s="39"/>
      <c r="B55" s="39" t="s">
        <v>31</v>
      </c>
      <c r="C55" s="39"/>
      <c r="D55" s="39" t="s">
        <v>43</v>
      </c>
      <c r="E55" s="39"/>
      <c r="F55" s="44" t="s">
        <v>167</v>
      </c>
      <c r="G55" s="44"/>
      <c r="H55" s="44" t="s">
        <v>168</v>
      </c>
      <c r="I55" s="44"/>
      <c r="J55" s="44" t="s">
        <v>169</v>
      </c>
      <c r="K55" s="44"/>
      <c r="L55" s="44" t="s">
        <v>170</v>
      </c>
      <c r="M55" s="44"/>
      <c r="N55" s="45" t="s">
        <v>171</v>
      </c>
      <c r="O55" s="44"/>
      <c r="P55" s="44" t="s">
        <v>172</v>
      </c>
      <c r="Q55" s="44"/>
      <c r="R55" s="26" t="e">
        <f t="shared" si="0"/>
        <v>#VALUE!</v>
      </c>
      <c r="S55" s="26" t="e">
        <f t="shared" si="1"/>
        <v>#VALUE!</v>
      </c>
      <c r="T55" s="81"/>
    </row>
    <row r="56" spans="1:20" s="7" customFormat="1" ht="13.5" customHeight="1" x14ac:dyDescent="0.2">
      <c r="A56" s="39"/>
      <c r="B56" s="39" t="s">
        <v>30</v>
      </c>
      <c r="C56" s="39"/>
      <c r="D56" s="39" t="s">
        <v>43</v>
      </c>
      <c r="E56" s="39"/>
      <c r="F56" s="44" t="s">
        <v>173</v>
      </c>
      <c r="G56" s="44"/>
      <c r="H56" s="44" t="s">
        <v>174</v>
      </c>
      <c r="I56" s="44"/>
      <c r="J56" s="44" t="s">
        <v>175</v>
      </c>
      <c r="K56" s="44"/>
      <c r="L56" s="44" t="s">
        <v>176</v>
      </c>
      <c r="M56" s="44"/>
      <c r="N56" s="45" t="s">
        <v>177</v>
      </c>
      <c r="O56" s="44"/>
      <c r="P56" s="44" t="s">
        <v>178</v>
      </c>
      <c r="Q56" s="44"/>
      <c r="R56" s="26" t="e">
        <f t="shared" si="0"/>
        <v>#VALUE!</v>
      </c>
      <c r="S56" s="26" t="e">
        <f t="shared" si="1"/>
        <v>#VALUE!</v>
      </c>
      <c r="T56" s="81"/>
    </row>
    <row r="57" spans="1:20" s="7" customFormat="1" ht="13.5" customHeight="1" x14ac:dyDescent="0.2">
      <c r="A57" s="39">
        <v>2</v>
      </c>
      <c r="B57" s="39" t="s">
        <v>36</v>
      </c>
      <c r="C57" s="39"/>
      <c r="D57" s="39" t="s">
        <v>25</v>
      </c>
      <c r="E57" s="39"/>
      <c r="F57" s="44" t="s">
        <v>179</v>
      </c>
      <c r="G57" s="44"/>
      <c r="H57" s="44" t="s">
        <v>180</v>
      </c>
      <c r="I57" s="44"/>
      <c r="J57" s="44" t="s">
        <v>181</v>
      </c>
      <c r="K57" s="44"/>
      <c r="L57" s="44" t="s">
        <v>182</v>
      </c>
      <c r="M57" s="44"/>
      <c r="N57" s="45" t="s">
        <v>183</v>
      </c>
      <c r="O57" s="44"/>
      <c r="P57" s="44" t="s">
        <v>184</v>
      </c>
      <c r="Q57" s="44"/>
      <c r="R57" s="26" t="e">
        <f t="shared" si="0"/>
        <v>#VALUE!</v>
      </c>
      <c r="S57" s="26" t="e">
        <f t="shared" si="1"/>
        <v>#VALUE!</v>
      </c>
      <c r="T57" s="81"/>
    </row>
    <row r="58" spans="1:20" s="7" customFormat="1" ht="13.5" customHeight="1" x14ac:dyDescent="0.2">
      <c r="A58" s="39"/>
      <c r="B58" s="39" t="s">
        <v>35</v>
      </c>
      <c r="C58" s="39"/>
      <c r="D58" s="39" t="s">
        <v>25</v>
      </c>
      <c r="E58" s="39"/>
      <c r="F58" s="44" t="s">
        <v>185</v>
      </c>
      <c r="G58" s="44"/>
      <c r="H58" s="44" t="s">
        <v>186</v>
      </c>
      <c r="I58" s="44"/>
      <c r="J58" s="44" t="s">
        <v>187</v>
      </c>
      <c r="K58" s="44"/>
      <c r="L58" s="44" t="s">
        <v>188</v>
      </c>
      <c r="M58" s="44"/>
      <c r="N58" s="45" t="s">
        <v>189</v>
      </c>
      <c r="O58" s="44"/>
      <c r="P58" s="44" t="s">
        <v>190</v>
      </c>
      <c r="Q58" s="44"/>
      <c r="R58" s="26" t="e">
        <f t="shared" si="0"/>
        <v>#VALUE!</v>
      </c>
      <c r="S58" s="26" t="e">
        <f t="shared" si="1"/>
        <v>#VALUE!</v>
      </c>
      <c r="T58" s="81"/>
    </row>
    <row r="59" spans="1:20" s="7" customFormat="1" ht="13.5" customHeight="1" x14ac:dyDescent="0.2">
      <c r="A59" s="39"/>
      <c r="B59" s="39" t="s">
        <v>34</v>
      </c>
      <c r="C59" s="39"/>
      <c r="D59" s="39" t="s">
        <v>41</v>
      </c>
      <c r="E59" s="39"/>
      <c r="F59" s="44" t="s">
        <v>191</v>
      </c>
      <c r="G59" s="44"/>
      <c r="H59" s="44" t="s">
        <v>192</v>
      </c>
      <c r="I59" s="44"/>
      <c r="J59" s="44" t="s">
        <v>193</v>
      </c>
      <c r="K59" s="44"/>
      <c r="L59" s="44" t="s">
        <v>194</v>
      </c>
      <c r="M59" s="44"/>
      <c r="N59" s="45" t="s">
        <v>195</v>
      </c>
      <c r="O59" s="44"/>
      <c r="P59" s="44" t="s">
        <v>196</v>
      </c>
      <c r="Q59" s="44"/>
      <c r="R59" s="26" t="e">
        <f t="shared" si="0"/>
        <v>#VALUE!</v>
      </c>
      <c r="S59" s="26" t="e">
        <f t="shared" si="1"/>
        <v>#VALUE!</v>
      </c>
      <c r="T59" s="81"/>
    </row>
    <row r="60" spans="1:20" s="7" customFormat="1" ht="13.5" customHeight="1" x14ac:dyDescent="0.2">
      <c r="A60" s="39"/>
      <c r="B60" s="39" t="s">
        <v>33</v>
      </c>
      <c r="C60" s="39"/>
      <c r="D60" s="39" t="s">
        <v>26</v>
      </c>
      <c r="E60" s="39"/>
      <c r="F60" s="44" t="s">
        <v>197</v>
      </c>
      <c r="G60" s="44"/>
      <c r="H60" s="44" t="s">
        <v>198</v>
      </c>
      <c r="I60" s="44"/>
      <c r="J60" s="44" t="s">
        <v>199</v>
      </c>
      <c r="K60" s="44"/>
      <c r="L60" s="44" t="s">
        <v>200</v>
      </c>
      <c r="M60" s="44"/>
      <c r="N60" s="45" t="s">
        <v>201</v>
      </c>
      <c r="O60" s="44"/>
      <c r="P60" s="44" t="s">
        <v>202</v>
      </c>
      <c r="Q60" s="44"/>
      <c r="R60" s="26" t="e">
        <f t="shared" si="0"/>
        <v>#VALUE!</v>
      </c>
      <c r="S60" s="26" t="e">
        <f t="shared" si="1"/>
        <v>#VALUE!</v>
      </c>
      <c r="T60" s="81"/>
    </row>
    <row r="61" spans="1:20" s="7" customFormat="1" ht="13.5" customHeight="1" x14ac:dyDescent="0.2">
      <c r="A61" s="39"/>
      <c r="B61" s="39" t="s">
        <v>32</v>
      </c>
      <c r="C61" s="39"/>
      <c r="D61" s="39" t="s">
        <v>42</v>
      </c>
      <c r="E61" s="39"/>
      <c r="F61" s="44" t="s">
        <v>203</v>
      </c>
      <c r="G61" s="44"/>
      <c r="H61" s="44" t="s">
        <v>204</v>
      </c>
      <c r="I61" s="44"/>
      <c r="J61" s="44" t="s">
        <v>205</v>
      </c>
      <c r="K61" s="44"/>
      <c r="L61" s="44" t="s">
        <v>206</v>
      </c>
      <c r="M61" s="44"/>
      <c r="N61" s="45" t="s">
        <v>207</v>
      </c>
      <c r="O61" s="44"/>
      <c r="P61" s="44" t="s">
        <v>208</v>
      </c>
      <c r="Q61" s="44"/>
      <c r="R61" s="26" t="e">
        <f t="shared" si="0"/>
        <v>#VALUE!</v>
      </c>
      <c r="S61" s="26" t="e">
        <f t="shared" si="1"/>
        <v>#VALUE!</v>
      </c>
      <c r="T61" s="81"/>
    </row>
    <row r="62" spans="1:20" s="7" customFormat="1" ht="13.5" customHeight="1" x14ac:dyDescent="0.2">
      <c r="A62" s="39"/>
      <c r="B62" s="39" t="s">
        <v>31</v>
      </c>
      <c r="C62" s="39"/>
      <c r="D62" s="39" t="s">
        <v>43</v>
      </c>
      <c r="E62" s="39"/>
      <c r="F62" s="44" t="s">
        <v>209</v>
      </c>
      <c r="G62" s="44"/>
      <c r="H62" s="44" t="s">
        <v>210</v>
      </c>
      <c r="I62" s="44"/>
      <c r="J62" s="44" t="s">
        <v>211</v>
      </c>
      <c r="K62" s="44"/>
      <c r="L62" s="44" t="s">
        <v>212</v>
      </c>
      <c r="M62" s="44"/>
      <c r="N62" s="45" t="s">
        <v>213</v>
      </c>
      <c r="O62" s="44"/>
      <c r="P62" s="44" t="s">
        <v>214</v>
      </c>
      <c r="Q62" s="44"/>
      <c r="R62" s="26" t="e">
        <f t="shared" si="0"/>
        <v>#VALUE!</v>
      </c>
      <c r="S62" s="26" t="e">
        <f t="shared" si="1"/>
        <v>#VALUE!</v>
      </c>
      <c r="T62" s="81"/>
    </row>
    <row r="63" spans="1:20" s="7" customFormat="1" ht="13.5" customHeight="1" x14ac:dyDescent="0.2">
      <c r="A63" s="39"/>
      <c r="B63" s="39" t="s">
        <v>30</v>
      </c>
      <c r="C63" s="39"/>
      <c r="D63" s="39" t="s">
        <v>43</v>
      </c>
      <c r="E63" s="39"/>
      <c r="F63" s="44" t="s">
        <v>215</v>
      </c>
      <c r="G63" s="44"/>
      <c r="H63" s="44" t="s">
        <v>216</v>
      </c>
      <c r="I63" s="44"/>
      <c r="J63" s="44" t="s">
        <v>217</v>
      </c>
      <c r="K63" s="44"/>
      <c r="L63" s="44" t="s">
        <v>218</v>
      </c>
      <c r="M63" s="44"/>
      <c r="N63" s="45" t="s">
        <v>219</v>
      </c>
      <c r="O63" s="44"/>
      <c r="P63" s="44" t="s">
        <v>220</v>
      </c>
      <c r="Q63" s="44"/>
      <c r="R63" s="26" t="e">
        <f t="shared" si="0"/>
        <v>#VALUE!</v>
      </c>
      <c r="S63" s="26" t="e">
        <f t="shared" si="1"/>
        <v>#VALUE!</v>
      </c>
      <c r="T63" s="81"/>
    </row>
    <row r="64" spans="1:20" s="7" customFormat="1" ht="14.25" customHeight="1" x14ac:dyDescent="0.2">
      <c r="A64" s="49">
        <v>3</v>
      </c>
      <c r="B64" s="39" t="s">
        <v>36</v>
      </c>
      <c r="C64" s="39"/>
      <c r="D64" s="39" t="s">
        <v>25</v>
      </c>
      <c r="E64" s="39"/>
      <c r="F64" s="44" t="s">
        <v>221</v>
      </c>
      <c r="G64" s="44"/>
      <c r="H64" s="44" t="s">
        <v>222</v>
      </c>
      <c r="I64" s="44"/>
      <c r="J64" s="44" t="s">
        <v>223</v>
      </c>
      <c r="K64" s="44"/>
      <c r="L64" s="44" t="s">
        <v>224</v>
      </c>
      <c r="M64" s="44"/>
      <c r="N64" s="45" t="s">
        <v>225</v>
      </c>
      <c r="O64" s="44"/>
      <c r="P64" s="44" t="s">
        <v>226</v>
      </c>
      <c r="Q64" s="44"/>
      <c r="R64" s="26" t="e">
        <f t="shared" si="0"/>
        <v>#VALUE!</v>
      </c>
      <c r="S64" s="26" t="e">
        <f t="shared" si="1"/>
        <v>#VALUE!</v>
      </c>
      <c r="T64" s="81"/>
    </row>
    <row r="65" spans="1:20" s="7" customFormat="1" ht="14.25" customHeight="1" x14ac:dyDescent="0.2">
      <c r="A65" s="50"/>
      <c r="B65" s="39" t="s">
        <v>35</v>
      </c>
      <c r="C65" s="39"/>
      <c r="D65" s="39" t="s">
        <v>25</v>
      </c>
      <c r="E65" s="39"/>
      <c r="F65" s="44" t="s">
        <v>227</v>
      </c>
      <c r="G65" s="44"/>
      <c r="H65" s="44" t="s">
        <v>228</v>
      </c>
      <c r="I65" s="44"/>
      <c r="J65" s="44" t="s">
        <v>229</v>
      </c>
      <c r="K65" s="44"/>
      <c r="L65" s="44" t="s">
        <v>230</v>
      </c>
      <c r="M65" s="44"/>
      <c r="N65" s="45" t="s">
        <v>231</v>
      </c>
      <c r="O65" s="44"/>
      <c r="P65" s="44" t="s">
        <v>232</v>
      </c>
      <c r="Q65" s="44"/>
      <c r="R65" s="26" t="e">
        <f t="shared" si="0"/>
        <v>#VALUE!</v>
      </c>
      <c r="S65" s="26" t="e">
        <f t="shared" si="1"/>
        <v>#VALUE!</v>
      </c>
      <c r="T65" s="81"/>
    </row>
    <row r="66" spans="1:20" s="7" customFormat="1" ht="14.25" customHeight="1" x14ac:dyDescent="0.2">
      <c r="A66" s="50"/>
      <c r="B66" s="39" t="s">
        <v>34</v>
      </c>
      <c r="C66" s="39"/>
      <c r="D66" s="39" t="s">
        <v>41</v>
      </c>
      <c r="E66" s="39"/>
      <c r="F66" s="44" t="s">
        <v>233</v>
      </c>
      <c r="G66" s="44"/>
      <c r="H66" s="44" t="s">
        <v>234</v>
      </c>
      <c r="I66" s="44"/>
      <c r="J66" s="44" t="s">
        <v>235</v>
      </c>
      <c r="K66" s="44"/>
      <c r="L66" s="44" t="s">
        <v>236</v>
      </c>
      <c r="M66" s="44"/>
      <c r="N66" s="45" t="s">
        <v>237</v>
      </c>
      <c r="O66" s="44"/>
      <c r="P66" s="44" t="s">
        <v>238</v>
      </c>
      <c r="Q66" s="44"/>
      <c r="R66" s="26" t="e">
        <f t="shared" si="0"/>
        <v>#VALUE!</v>
      </c>
      <c r="S66" s="26" t="e">
        <f t="shared" si="1"/>
        <v>#VALUE!</v>
      </c>
      <c r="T66" s="81"/>
    </row>
    <row r="67" spans="1:20" s="7" customFormat="1" ht="14.25" customHeight="1" x14ac:dyDescent="0.2">
      <c r="A67" s="50"/>
      <c r="B67" s="39" t="s">
        <v>33</v>
      </c>
      <c r="C67" s="39"/>
      <c r="D67" s="39" t="s">
        <v>26</v>
      </c>
      <c r="E67" s="39"/>
      <c r="F67" s="44" t="s">
        <v>239</v>
      </c>
      <c r="G67" s="44"/>
      <c r="H67" s="44" t="s">
        <v>240</v>
      </c>
      <c r="I67" s="44"/>
      <c r="J67" s="44" t="s">
        <v>241</v>
      </c>
      <c r="K67" s="44"/>
      <c r="L67" s="44" t="s">
        <v>242</v>
      </c>
      <c r="M67" s="44"/>
      <c r="N67" s="45" t="s">
        <v>243</v>
      </c>
      <c r="O67" s="44"/>
      <c r="P67" s="44" t="s">
        <v>244</v>
      </c>
      <c r="Q67" s="44"/>
      <c r="R67" s="26" t="e">
        <f t="shared" si="0"/>
        <v>#VALUE!</v>
      </c>
      <c r="S67" s="26" t="e">
        <f t="shared" si="1"/>
        <v>#VALUE!</v>
      </c>
      <c r="T67" s="81"/>
    </row>
    <row r="68" spans="1:20" s="7" customFormat="1" ht="14.25" customHeight="1" x14ac:dyDescent="0.2">
      <c r="A68" s="50"/>
      <c r="B68" s="39" t="s">
        <v>32</v>
      </c>
      <c r="C68" s="39"/>
      <c r="D68" s="39" t="s">
        <v>42</v>
      </c>
      <c r="E68" s="39"/>
      <c r="F68" s="44" t="s">
        <v>245</v>
      </c>
      <c r="G68" s="44"/>
      <c r="H68" s="44" t="s">
        <v>246</v>
      </c>
      <c r="I68" s="44"/>
      <c r="J68" s="44" t="s">
        <v>247</v>
      </c>
      <c r="K68" s="44"/>
      <c r="L68" s="44" t="s">
        <v>248</v>
      </c>
      <c r="M68" s="44"/>
      <c r="N68" s="45" t="s">
        <v>249</v>
      </c>
      <c r="O68" s="44"/>
      <c r="P68" s="44" t="s">
        <v>250</v>
      </c>
      <c r="Q68" s="44"/>
      <c r="R68" s="26" t="e">
        <f t="shared" si="0"/>
        <v>#VALUE!</v>
      </c>
      <c r="S68" s="26" t="e">
        <f t="shared" si="1"/>
        <v>#VALUE!</v>
      </c>
      <c r="T68" s="81"/>
    </row>
    <row r="69" spans="1:20" s="7" customFormat="1" ht="14.25" customHeight="1" x14ac:dyDescent="0.2">
      <c r="A69" s="50"/>
      <c r="B69" s="39" t="s">
        <v>31</v>
      </c>
      <c r="C69" s="39"/>
      <c r="D69" s="39" t="s">
        <v>43</v>
      </c>
      <c r="E69" s="39"/>
      <c r="F69" s="44" t="s">
        <v>251</v>
      </c>
      <c r="G69" s="44"/>
      <c r="H69" s="44" t="s">
        <v>252</v>
      </c>
      <c r="I69" s="44"/>
      <c r="J69" s="44" t="s">
        <v>253</v>
      </c>
      <c r="K69" s="44"/>
      <c r="L69" s="44" t="s">
        <v>254</v>
      </c>
      <c r="M69" s="44"/>
      <c r="N69" s="45" t="s">
        <v>255</v>
      </c>
      <c r="O69" s="44"/>
      <c r="P69" s="44" t="s">
        <v>256</v>
      </c>
      <c r="Q69" s="44"/>
      <c r="R69" s="26" t="e">
        <f t="shared" si="0"/>
        <v>#VALUE!</v>
      </c>
      <c r="S69" s="26" t="e">
        <f t="shared" si="1"/>
        <v>#VALUE!</v>
      </c>
      <c r="T69" s="81"/>
    </row>
    <row r="70" spans="1:20" s="7" customFormat="1" ht="14.25" customHeight="1" x14ac:dyDescent="0.2">
      <c r="A70" s="51"/>
      <c r="B70" s="39" t="s">
        <v>30</v>
      </c>
      <c r="C70" s="39"/>
      <c r="D70" s="39" t="s">
        <v>43</v>
      </c>
      <c r="E70" s="39"/>
      <c r="F70" s="44" t="s">
        <v>257</v>
      </c>
      <c r="G70" s="44"/>
      <c r="H70" s="44" t="s">
        <v>258</v>
      </c>
      <c r="I70" s="44"/>
      <c r="J70" s="44" t="s">
        <v>259</v>
      </c>
      <c r="K70" s="44"/>
      <c r="L70" s="44" t="s">
        <v>260</v>
      </c>
      <c r="M70" s="44"/>
      <c r="N70" s="45" t="s">
        <v>261</v>
      </c>
      <c r="O70" s="44"/>
      <c r="P70" s="44" t="s">
        <v>262</v>
      </c>
      <c r="Q70" s="44"/>
      <c r="R70" s="26" t="e">
        <f t="shared" si="0"/>
        <v>#VALUE!</v>
      </c>
      <c r="S70" s="26" t="e">
        <f t="shared" si="1"/>
        <v>#VALUE!</v>
      </c>
      <c r="T70" s="82"/>
    </row>
    <row r="71" spans="1:20" s="7" customFormat="1" ht="12.75" customHeight="1" x14ac:dyDescent="0.2">
      <c r="A71" s="43" t="s">
        <v>5</v>
      </c>
      <c r="B71" s="43" t="s">
        <v>6</v>
      </c>
      <c r="C71" s="43"/>
      <c r="D71" s="67" t="s">
        <v>40</v>
      </c>
      <c r="E71" s="67"/>
      <c r="F71" s="43" t="s">
        <v>45</v>
      </c>
      <c r="G71" s="43"/>
      <c r="H71" s="43" t="s">
        <v>46</v>
      </c>
      <c r="I71" s="43"/>
      <c r="J71" s="43" t="s">
        <v>47</v>
      </c>
      <c r="K71" s="43"/>
      <c r="L71" s="43" t="s">
        <v>44</v>
      </c>
      <c r="M71" s="43"/>
      <c r="N71" s="43" t="s">
        <v>48</v>
      </c>
      <c r="O71" s="43"/>
      <c r="P71" s="43" t="s">
        <v>49</v>
      </c>
      <c r="Q71" s="43"/>
      <c r="R71" s="71" t="s">
        <v>50</v>
      </c>
      <c r="S71" s="71" t="s">
        <v>51</v>
      </c>
      <c r="T71" s="71" t="s">
        <v>52</v>
      </c>
    </row>
    <row r="72" spans="1:20" s="7" customFormat="1" x14ac:dyDescent="0.2">
      <c r="A72" s="43"/>
      <c r="B72" s="43"/>
      <c r="C72" s="43"/>
      <c r="D72" s="67"/>
      <c r="E72" s="67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71"/>
      <c r="S72" s="71"/>
      <c r="T72" s="71"/>
    </row>
    <row r="73" spans="1:20" s="7" customFormat="1" ht="55.5" customHeight="1" x14ac:dyDescent="0.2">
      <c r="A73" s="43"/>
      <c r="B73" s="43"/>
      <c r="C73" s="43"/>
      <c r="D73" s="67"/>
      <c r="E73" s="67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71"/>
      <c r="S73" s="71"/>
      <c r="T73" s="71"/>
    </row>
    <row r="74" spans="1:20" s="7" customFormat="1" ht="18.75" customHeight="1" x14ac:dyDescent="0.2">
      <c r="A74" s="39">
        <v>4</v>
      </c>
      <c r="B74" s="39" t="s">
        <v>36</v>
      </c>
      <c r="C74" s="39"/>
      <c r="D74" s="39" t="s">
        <v>25</v>
      </c>
      <c r="E74" s="39"/>
      <c r="F74" s="44" t="s">
        <v>263</v>
      </c>
      <c r="G74" s="44"/>
      <c r="H74" s="44" t="s">
        <v>264</v>
      </c>
      <c r="I74" s="44"/>
      <c r="J74" s="44" t="s">
        <v>265</v>
      </c>
      <c r="K74" s="44"/>
      <c r="L74" s="44" t="s">
        <v>266</v>
      </c>
      <c r="M74" s="44"/>
      <c r="N74" s="45" t="s">
        <v>267</v>
      </c>
      <c r="O74" s="44"/>
      <c r="P74" s="44" t="s">
        <v>268</v>
      </c>
      <c r="Q74" s="44"/>
      <c r="R74" s="26" t="e">
        <f t="shared" si="0"/>
        <v>#VALUE!</v>
      </c>
      <c r="S74" s="26" t="e">
        <f t="shared" si="1"/>
        <v>#VALUE!</v>
      </c>
      <c r="T74" s="80" t="s">
        <v>91</v>
      </c>
    </row>
    <row r="75" spans="1:20" s="7" customFormat="1" ht="18.75" customHeight="1" x14ac:dyDescent="0.2">
      <c r="A75" s="39"/>
      <c r="B75" s="39" t="s">
        <v>35</v>
      </c>
      <c r="C75" s="39"/>
      <c r="D75" s="39" t="s">
        <v>25</v>
      </c>
      <c r="E75" s="39"/>
      <c r="F75" s="44" t="s">
        <v>269</v>
      </c>
      <c r="G75" s="44"/>
      <c r="H75" s="44" t="s">
        <v>270</v>
      </c>
      <c r="I75" s="44"/>
      <c r="J75" s="44" t="s">
        <v>271</v>
      </c>
      <c r="K75" s="44"/>
      <c r="L75" s="44" t="s">
        <v>272</v>
      </c>
      <c r="M75" s="44"/>
      <c r="N75" s="45" t="s">
        <v>273</v>
      </c>
      <c r="O75" s="44"/>
      <c r="P75" s="44" t="s">
        <v>274</v>
      </c>
      <c r="Q75" s="44"/>
      <c r="R75" s="26" t="e">
        <f t="shared" si="0"/>
        <v>#VALUE!</v>
      </c>
      <c r="S75" s="26" t="e">
        <f t="shared" si="1"/>
        <v>#VALUE!</v>
      </c>
      <c r="T75" s="81"/>
    </row>
    <row r="76" spans="1:20" s="7" customFormat="1" ht="18.75" customHeight="1" x14ac:dyDescent="0.2">
      <c r="A76" s="39"/>
      <c r="B76" s="39" t="s">
        <v>34</v>
      </c>
      <c r="C76" s="39"/>
      <c r="D76" s="39" t="s">
        <v>41</v>
      </c>
      <c r="E76" s="39"/>
      <c r="F76" s="44" t="s">
        <v>275</v>
      </c>
      <c r="G76" s="44"/>
      <c r="H76" s="44" t="s">
        <v>276</v>
      </c>
      <c r="I76" s="44"/>
      <c r="J76" s="44" t="s">
        <v>277</v>
      </c>
      <c r="K76" s="44"/>
      <c r="L76" s="44" t="s">
        <v>278</v>
      </c>
      <c r="M76" s="44"/>
      <c r="N76" s="45" t="s">
        <v>279</v>
      </c>
      <c r="O76" s="44"/>
      <c r="P76" s="44" t="s">
        <v>280</v>
      </c>
      <c r="Q76" s="44"/>
      <c r="R76" s="26" t="e">
        <f t="shared" si="0"/>
        <v>#VALUE!</v>
      </c>
      <c r="S76" s="26" t="e">
        <f t="shared" si="1"/>
        <v>#VALUE!</v>
      </c>
      <c r="T76" s="81"/>
    </row>
    <row r="77" spans="1:20" s="7" customFormat="1" ht="18.75" customHeight="1" x14ac:dyDescent="0.2">
      <c r="A77" s="39"/>
      <c r="B77" s="39" t="s">
        <v>33</v>
      </c>
      <c r="C77" s="39"/>
      <c r="D77" s="39" t="s">
        <v>26</v>
      </c>
      <c r="E77" s="39"/>
      <c r="F77" s="44" t="s">
        <v>281</v>
      </c>
      <c r="G77" s="44"/>
      <c r="H77" s="44" t="s">
        <v>282</v>
      </c>
      <c r="I77" s="44"/>
      <c r="J77" s="44" t="s">
        <v>283</v>
      </c>
      <c r="K77" s="44"/>
      <c r="L77" s="44" t="s">
        <v>284</v>
      </c>
      <c r="M77" s="44"/>
      <c r="N77" s="45" t="s">
        <v>285</v>
      </c>
      <c r="O77" s="44"/>
      <c r="P77" s="44" t="s">
        <v>286</v>
      </c>
      <c r="Q77" s="44"/>
      <c r="R77" s="26" t="e">
        <f t="shared" si="0"/>
        <v>#VALUE!</v>
      </c>
      <c r="S77" s="26" t="e">
        <f t="shared" si="1"/>
        <v>#VALUE!</v>
      </c>
      <c r="T77" s="81"/>
    </row>
    <row r="78" spans="1:20" s="7" customFormat="1" ht="18.75" customHeight="1" x14ac:dyDescent="0.2">
      <c r="A78" s="39"/>
      <c r="B78" s="39" t="s">
        <v>32</v>
      </c>
      <c r="C78" s="39"/>
      <c r="D78" s="39" t="s">
        <v>42</v>
      </c>
      <c r="E78" s="39"/>
      <c r="F78" s="44" t="s">
        <v>287</v>
      </c>
      <c r="G78" s="44"/>
      <c r="H78" s="44" t="s">
        <v>288</v>
      </c>
      <c r="I78" s="44"/>
      <c r="J78" s="44" t="s">
        <v>289</v>
      </c>
      <c r="K78" s="44"/>
      <c r="L78" s="44" t="s">
        <v>290</v>
      </c>
      <c r="M78" s="44"/>
      <c r="N78" s="45" t="s">
        <v>291</v>
      </c>
      <c r="O78" s="44"/>
      <c r="P78" s="44" t="s">
        <v>292</v>
      </c>
      <c r="Q78" s="44"/>
      <c r="R78" s="26" t="e">
        <f t="shared" si="0"/>
        <v>#VALUE!</v>
      </c>
      <c r="S78" s="26" t="e">
        <f t="shared" si="1"/>
        <v>#VALUE!</v>
      </c>
      <c r="T78" s="81"/>
    </row>
    <row r="79" spans="1:20" s="7" customFormat="1" ht="18.75" customHeight="1" x14ac:dyDescent="0.2">
      <c r="A79" s="39"/>
      <c r="B79" s="39" t="s">
        <v>31</v>
      </c>
      <c r="C79" s="39"/>
      <c r="D79" s="39" t="s">
        <v>43</v>
      </c>
      <c r="E79" s="39"/>
      <c r="F79" s="44" t="s">
        <v>293</v>
      </c>
      <c r="G79" s="44"/>
      <c r="H79" s="44" t="s">
        <v>294</v>
      </c>
      <c r="I79" s="44"/>
      <c r="J79" s="44" t="s">
        <v>295</v>
      </c>
      <c r="K79" s="44"/>
      <c r="L79" s="44" t="s">
        <v>296</v>
      </c>
      <c r="M79" s="44"/>
      <c r="N79" s="45" t="s">
        <v>297</v>
      </c>
      <c r="O79" s="44"/>
      <c r="P79" s="44" t="s">
        <v>298</v>
      </c>
      <c r="Q79" s="44"/>
      <c r="R79" s="26" t="e">
        <f t="shared" si="0"/>
        <v>#VALUE!</v>
      </c>
      <c r="S79" s="26" t="e">
        <f t="shared" si="1"/>
        <v>#VALUE!</v>
      </c>
      <c r="T79" s="81"/>
    </row>
    <row r="80" spans="1:20" s="7" customFormat="1" ht="18.75" customHeight="1" x14ac:dyDescent="0.2">
      <c r="A80" s="39"/>
      <c r="B80" s="39" t="s">
        <v>30</v>
      </c>
      <c r="C80" s="39"/>
      <c r="D80" s="39" t="s">
        <v>43</v>
      </c>
      <c r="E80" s="39"/>
      <c r="F80" s="44" t="s">
        <v>299</v>
      </c>
      <c r="G80" s="44"/>
      <c r="H80" s="44" t="s">
        <v>300</v>
      </c>
      <c r="I80" s="44"/>
      <c r="J80" s="44" t="s">
        <v>301</v>
      </c>
      <c r="K80" s="44"/>
      <c r="L80" s="44" t="s">
        <v>302</v>
      </c>
      <c r="M80" s="44"/>
      <c r="N80" s="45" t="s">
        <v>303</v>
      </c>
      <c r="O80" s="44"/>
      <c r="P80" s="44" t="s">
        <v>304</v>
      </c>
      <c r="Q80" s="44"/>
      <c r="R80" s="26" t="e">
        <f t="shared" si="0"/>
        <v>#VALUE!</v>
      </c>
      <c r="S80" s="26" t="e">
        <f t="shared" si="1"/>
        <v>#VALUE!</v>
      </c>
      <c r="T80" s="81"/>
    </row>
    <row r="81" spans="1:20" s="7" customFormat="1" ht="18.75" customHeight="1" x14ac:dyDescent="0.2">
      <c r="A81" s="49" t="s">
        <v>74</v>
      </c>
      <c r="B81" s="39" t="s">
        <v>36</v>
      </c>
      <c r="C81" s="39"/>
      <c r="D81" s="39" t="s">
        <v>25</v>
      </c>
      <c r="E81" s="39"/>
      <c r="F81" s="44" t="s">
        <v>431</v>
      </c>
      <c r="G81" s="44"/>
      <c r="H81" s="44" t="s">
        <v>432</v>
      </c>
      <c r="I81" s="44"/>
      <c r="J81" s="44" t="s">
        <v>433</v>
      </c>
      <c r="K81" s="44"/>
      <c r="L81" s="44" t="s">
        <v>434</v>
      </c>
      <c r="M81" s="44"/>
      <c r="N81" s="45" t="s">
        <v>435</v>
      </c>
      <c r="O81" s="44"/>
      <c r="P81" s="44" t="s">
        <v>436</v>
      </c>
      <c r="Q81" s="44"/>
      <c r="R81" s="26" t="e">
        <f t="shared" ref="R81:R94" si="2">((L81-P81)/(F81-J81)-1)*100</f>
        <v>#VALUE!</v>
      </c>
      <c r="S81" s="26" t="e">
        <f t="shared" ref="S81:S94" si="3">((N81-P81)/(H81-J81)-1)*100</f>
        <v>#VALUE!</v>
      </c>
      <c r="T81" s="81"/>
    </row>
    <row r="82" spans="1:20" s="7" customFormat="1" ht="18.75" customHeight="1" x14ac:dyDescent="0.2">
      <c r="A82" s="50"/>
      <c r="B82" s="39" t="s">
        <v>35</v>
      </c>
      <c r="C82" s="39"/>
      <c r="D82" s="39" t="s">
        <v>25</v>
      </c>
      <c r="E82" s="39"/>
      <c r="F82" s="44" t="s">
        <v>437</v>
      </c>
      <c r="G82" s="44"/>
      <c r="H82" s="44" t="s">
        <v>438</v>
      </c>
      <c r="I82" s="44"/>
      <c r="J82" s="44" t="s">
        <v>439</v>
      </c>
      <c r="K82" s="44"/>
      <c r="L82" s="44" t="s">
        <v>440</v>
      </c>
      <c r="M82" s="44"/>
      <c r="N82" s="45" t="s">
        <v>441</v>
      </c>
      <c r="O82" s="44"/>
      <c r="P82" s="44" t="s">
        <v>442</v>
      </c>
      <c r="Q82" s="44"/>
      <c r="R82" s="26" t="e">
        <f t="shared" si="2"/>
        <v>#VALUE!</v>
      </c>
      <c r="S82" s="26" t="e">
        <f t="shared" si="3"/>
        <v>#VALUE!</v>
      </c>
      <c r="T82" s="81"/>
    </row>
    <row r="83" spans="1:20" s="7" customFormat="1" ht="18.75" customHeight="1" x14ac:dyDescent="0.2">
      <c r="A83" s="50"/>
      <c r="B83" s="39" t="s">
        <v>34</v>
      </c>
      <c r="C83" s="39"/>
      <c r="D83" s="39" t="s">
        <v>41</v>
      </c>
      <c r="E83" s="39"/>
      <c r="F83" s="44" t="s">
        <v>443</v>
      </c>
      <c r="G83" s="44"/>
      <c r="H83" s="44" t="s">
        <v>444</v>
      </c>
      <c r="I83" s="44"/>
      <c r="J83" s="44" t="s">
        <v>445</v>
      </c>
      <c r="K83" s="44"/>
      <c r="L83" s="44" t="s">
        <v>446</v>
      </c>
      <c r="M83" s="44"/>
      <c r="N83" s="45" t="s">
        <v>447</v>
      </c>
      <c r="O83" s="44"/>
      <c r="P83" s="44" t="s">
        <v>448</v>
      </c>
      <c r="Q83" s="44"/>
      <c r="R83" s="26" t="e">
        <f t="shared" si="2"/>
        <v>#VALUE!</v>
      </c>
      <c r="S83" s="26" t="e">
        <f t="shared" si="3"/>
        <v>#VALUE!</v>
      </c>
      <c r="T83" s="81"/>
    </row>
    <row r="84" spans="1:20" s="7" customFormat="1" ht="18.75" customHeight="1" x14ac:dyDescent="0.2">
      <c r="A84" s="50"/>
      <c r="B84" s="39" t="s">
        <v>33</v>
      </c>
      <c r="C84" s="39"/>
      <c r="D84" s="39" t="s">
        <v>26</v>
      </c>
      <c r="E84" s="39"/>
      <c r="F84" s="44" t="s">
        <v>449</v>
      </c>
      <c r="G84" s="44"/>
      <c r="H84" s="44" t="s">
        <v>450</v>
      </c>
      <c r="I84" s="44"/>
      <c r="J84" s="44" t="s">
        <v>451</v>
      </c>
      <c r="K84" s="44"/>
      <c r="L84" s="44" t="s">
        <v>452</v>
      </c>
      <c r="M84" s="44"/>
      <c r="N84" s="45" t="s">
        <v>453</v>
      </c>
      <c r="O84" s="44"/>
      <c r="P84" s="44" t="s">
        <v>454</v>
      </c>
      <c r="Q84" s="44"/>
      <c r="R84" s="26" t="e">
        <f t="shared" si="2"/>
        <v>#VALUE!</v>
      </c>
      <c r="S84" s="26" t="e">
        <f t="shared" si="3"/>
        <v>#VALUE!</v>
      </c>
      <c r="T84" s="81"/>
    </row>
    <row r="85" spans="1:20" s="7" customFormat="1" ht="18.75" customHeight="1" x14ac:dyDescent="0.2">
      <c r="A85" s="50"/>
      <c r="B85" s="39" t="s">
        <v>32</v>
      </c>
      <c r="C85" s="39"/>
      <c r="D85" s="39" t="s">
        <v>42</v>
      </c>
      <c r="E85" s="39"/>
      <c r="F85" s="44" t="s">
        <v>455</v>
      </c>
      <c r="G85" s="44"/>
      <c r="H85" s="44" t="s">
        <v>456</v>
      </c>
      <c r="I85" s="44"/>
      <c r="J85" s="44" t="s">
        <v>457</v>
      </c>
      <c r="K85" s="44"/>
      <c r="L85" s="44" t="s">
        <v>458</v>
      </c>
      <c r="M85" s="44"/>
      <c r="N85" s="45" t="s">
        <v>459</v>
      </c>
      <c r="O85" s="44"/>
      <c r="P85" s="44" t="s">
        <v>460</v>
      </c>
      <c r="Q85" s="44"/>
      <c r="R85" s="26" t="e">
        <f t="shared" si="2"/>
        <v>#VALUE!</v>
      </c>
      <c r="S85" s="26" t="e">
        <f t="shared" si="3"/>
        <v>#VALUE!</v>
      </c>
      <c r="T85" s="81"/>
    </row>
    <row r="86" spans="1:20" s="7" customFormat="1" ht="18.75" customHeight="1" x14ac:dyDescent="0.2">
      <c r="A86" s="50"/>
      <c r="B86" s="39" t="s">
        <v>31</v>
      </c>
      <c r="C86" s="39"/>
      <c r="D86" s="39" t="s">
        <v>43</v>
      </c>
      <c r="E86" s="39"/>
      <c r="F86" s="44" t="s">
        <v>461</v>
      </c>
      <c r="G86" s="44"/>
      <c r="H86" s="44" t="s">
        <v>462</v>
      </c>
      <c r="I86" s="44"/>
      <c r="J86" s="44" t="s">
        <v>463</v>
      </c>
      <c r="K86" s="44"/>
      <c r="L86" s="44" t="s">
        <v>464</v>
      </c>
      <c r="M86" s="44"/>
      <c r="N86" s="45" t="s">
        <v>465</v>
      </c>
      <c r="O86" s="44"/>
      <c r="P86" s="44" t="s">
        <v>466</v>
      </c>
      <c r="Q86" s="44"/>
      <c r="R86" s="26" t="e">
        <f t="shared" si="2"/>
        <v>#VALUE!</v>
      </c>
      <c r="S86" s="26" t="e">
        <f t="shared" si="3"/>
        <v>#VALUE!</v>
      </c>
      <c r="T86" s="81"/>
    </row>
    <row r="87" spans="1:20" s="7" customFormat="1" ht="18.75" customHeight="1" x14ac:dyDescent="0.2">
      <c r="A87" s="51"/>
      <c r="B87" s="39" t="s">
        <v>30</v>
      </c>
      <c r="C87" s="39"/>
      <c r="D87" s="39" t="s">
        <v>43</v>
      </c>
      <c r="E87" s="39"/>
      <c r="F87" s="44" t="s">
        <v>467</v>
      </c>
      <c r="G87" s="44"/>
      <c r="H87" s="44" t="s">
        <v>468</v>
      </c>
      <c r="I87" s="44"/>
      <c r="J87" s="44" t="s">
        <v>469</v>
      </c>
      <c r="K87" s="44"/>
      <c r="L87" s="44" t="s">
        <v>470</v>
      </c>
      <c r="M87" s="44"/>
      <c r="N87" s="45" t="s">
        <v>471</v>
      </c>
      <c r="O87" s="44"/>
      <c r="P87" s="44" t="s">
        <v>472</v>
      </c>
      <c r="Q87" s="44"/>
      <c r="R87" s="26" t="e">
        <f t="shared" si="2"/>
        <v>#VALUE!</v>
      </c>
      <c r="S87" s="26" t="e">
        <f t="shared" si="3"/>
        <v>#VALUE!</v>
      </c>
      <c r="T87" s="81"/>
    </row>
    <row r="88" spans="1:20" s="7" customFormat="1" ht="18.75" customHeight="1" x14ac:dyDescent="0.2">
      <c r="A88" s="39" t="s">
        <v>75</v>
      </c>
      <c r="B88" s="39" t="s">
        <v>36</v>
      </c>
      <c r="C88" s="39"/>
      <c r="D88" s="39" t="s">
        <v>25</v>
      </c>
      <c r="E88" s="39"/>
      <c r="F88" s="44" t="s">
        <v>473</v>
      </c>
      <c r="G88" s="44"/>
      <c r="H88" s="44" t="s">
        <v>474</v>
      </c>
      <c r="I88" s="44"/>
      <c r="J88" s="44" t="s">
        <v>475</v>
      </c>
      <c r="K88" s="44"/>
      <c r="L88" s="44" t="s">
        <v>476</v>
      </c>
      <c r="M88" s="44"/>
      <c r="N88" s="45" t="s">
        <v>477</v>
      </c>
      <c r="O88" s="44"/>
      <c r="P88" s="44" t="s">
        <v>478</v>
      </c>
      <c r="Q88" s="44"/>
      <c r="R88" s="26" t="e">
        <f t="shared" si="2"/>
        <v>#VALUE!</v>
      </c>
      <c r="S88" s="26" t="e">
        <f t="shared" si="3"/>
        <v>#VALUE!</v>
      </c>
      <c r="T88" s="81"/>
    </row>
    <row r="89" spans="1:20" s="7" customFormat="1" ht="18.75" customHeight="1" x14ac:dyDescent="0.2">
      <c r="A89" s="39"/>
      <c r="B89" s="39" t="s">
        <v>35</v>
      </c>
      <c r="C89" s="39"/>
      <c r="D89" s="39" t="s">
        <v>25</v>
      </c>
      <c r="E89" s="39"/>
      <c r="F89" s="44" t="s">
        <v>479</v>
      </c>
      <c r="G89" s="44"/>
      <c r="H89" s="44" t="s">
        <v>480</v>
      </c>
      <c r="I89" s="44"/>
      <c r="J89" s="44" t="s">
        <v>481</v>
      </c>
      <c r="K89" s="44"/>
      <c r="L89" s="44" t="s">
        <v>482</v>
      </c>
      <c r="M89" s="44"/>
      <c r="N89" s="45" t="s">
        <v>483</v>
      </c>
      <c r="O89" s="44"/>
      <c r="P89" s="44" t="s">
        <v>484</v>
      </c>
      <c r="Q89" s="44"/>
      <c r="R89" s="26" t="e">
        <f t="shared" si="2"/>
        <v>#VALUE!</v>
      </c>
      <c r="S89" s="26" t="e">
        <f t="shared" si="3"/>
        <v>#VALUE!</v>
      </c>
      <c r="T89" s="81"/>
    </row>
    <row r="90" spans="1:20" s="7" customFormat="1" ht="18.75" customHeight="1" x14ac:dyDescent="0.2">
      <c r="A90" s="39"/>
      <c r="B90" s="39" t="s">
        <v>34</v>
      </c>
      <c r="C90" s="39"/>
      <c r="D90" s="39" t="s">
        <v>41</v>
      </c>
      <c r="E90" s="39"/>
      <c r="F90" s="44" t="s">
        <v>485</v>
      </c>
      <c r="G90" s="44"/>
      <c r="H90" s="44" t="s">
        <v>486</v>
      </c>
      <c r="I90" s="44"/>
      <c r="J90" s="44" t="s">
        <v>487</v>
      </c>
      <c r="K90" s="44"/>
      <c r="L90" s="44" t="s">
        <v>488</v>
      </c>
      <c r="M90" s="44"/>
      <c r="N90" s="45" t="s">
        <v>489</v>
      </c>
      <c r="O90" s="44"/>
      <c r="P90" s="44" t="s">
        <v>490</v>
      </c>
      <c r="Q90" s="44"/>
      <c r="R90" s="26" t="e">
        <f t="shared" si="2"/>
        <v>#VALUE!</v>
      </c>
      <c r="S90" s="26" t="e">
        <f t="shared" si="3"/>
        <v>#VALUE!</v>
      </c>
      <c r="T90" s="81"/>
    </row>
    <row r="91" spans="1:20" s="7" customFormat="1" ht="18.75" customHeight="1" x14ac:dyDescent="0.2">
      <c r="A91" s="39"/>
      <c r="B91" s="39" t="s">
        <v>33</v>
      </c>
      <c r="C91" s="39"/>
      <c r="D91" s="39" t="s">
        <v>26</v>
      </c>
      <c r="E91" s="39"/>
      <c r="F91" s="44" t="s">
        <v>491</v>
      </c>
      <c r="G91" s="44"/>
      <c r="H91" s="44" t="s">
        <v>492</v>
      </c>
      <c r="I91" s="44"/>
      <c r="J91" s="44" t="s">
        <v>493</v>
      </c>
      <c r="K91" s="44"/>
      <c r="L91" s="44" t="s">
        <v>494</v>
      </c>
      <c r="M91" s="44"/>
      <c r="N91" s="45" t="s">
        <v>495</v>
      </c>
      <c r="O91" s="44"/>
      <c r="P91" s="44" t="s">
        <v>496</v>
      </c>
      <c r="Q91" s="44"/>
      <c r="R91" s="26" t="e">
        <f t="shared" si="2"/>
        <v>#VALUE!</v>
      </c>
      <c r="S91" s="26" t="e">
        <f t="shared" si="3"/>
        <v>#VALUE!</v>
      </c>
      <c r="T91" s="81"/>
    </row>
    <row r="92" spans="1:20" s="7" customFormat="1" ht="18.75" customHeight="1" x14ac:dyDescent="0.2">
      <c r="A92" s="39"/>
      <c r="B92" s="39" t="s">
        <v>32</v>
      </c>
      <c r="C92" s="39"/>
      <c r="D92" s="39" t="s">
        <v>42</v>
      </c>
      <c r="E92" s="39"/>
      <c r="F92" s="44" t="s">
        <v>497</v>
      </c>
      <c r="G92" s="44"/>
      <c r="H92" s="44" t="s">
        <v>498</v>
      </c>
      <c r="I92" s="44"/>
      <c r="J92" s="44" t="s">
        <v>499</v>
      </c>
      <c r="K92" s="44"/>
      <c r="L92" s="44" t="s">
        <v>500</v>
      </c>
      <c r="M92" s="44"/>
      <c r="N92" s="45" t="s">
        <v>501</v>
      </c>
      <c r="O92" s="44"/>
      <c r="P92" s="44" t="s">
        <v>502</v>
      </c>
      <c r="Q92" s="44"/>
      <c r="R92" s="26" t="e">
        <f t="shared" si="2"/>
        <v>#VALUE!</v>
      </c>
      <c r="S92" s="26" t="e">
        <f t="shared" si="3"/>
        <v>#VALUE!</v>
      </c>
      <c r="T92" s="81"/>
    </row>
    <row r="93" spans="1:20" s="7" customFormat="1" ht="18.75" customHeight="1" x14ac:dyDescent="0.2">
      <c r="A93" s="39"/>
      <c r="B93" s="39" t="s">
        <v>31</v>
      </c>
      <c r="C93" s="39"/>
      <c r="D93" s="39" t="s">
        <v>43</v>
      </c>
      <c r="E93" s="39"/>
      <c r="F93" s="44" t="s">
        <v>503</v>
      </c>
      <c r="G93" s="44"/>
      <c r="H93" s="44" t="s">
        <v>504</v>
      </c>
      <c r="I93" s="44"/>
      <c r="J93" s="44" t="s">
        <v>505</v>
      </c>
      <c r="K93" s="44"/>
      <c r="L93" s="44" t="s">
        <v>506</v>
      </c>
      <c r="M93" s="44"/>
      <c r="N93" s="45" t="s">
        <v>507</v>
      </c>
      <c r="O93" s="44"/>
      <c r="P93" s="44" t="s">
        <v>508</v>
      </c>
      <c r="Q93" s="44"/>
      <c r="R93" s="26" t="e">
        <f t="shared" si="2"/>
        <v>#VALUE!</v>
      </c>
      <c r="S93" s="26" t="e">
        <f t="shared" si="3"/>
        <v>#VALUE!</v>
      </c>
      <c r="T93" s="81"/>
    </row>
    <row r="94" spans="1:20" s="7" customFormat="1" ht="18.75" customHeight="1" x14ac:dyDescent="0.2">
      <c r="A94" s="39"/>
      <c r="B94" s="39" t="s">
        <v>30</v>
      </c>
      <c r="C94" s="39"/>
      <c r="D94" s="39" t="s">
        <v>43</v>
      </c>
      <c r="E94" s="39"/>
      <c r="F94" s="44" t="s">
        <v>509</v>
      </c>
      <c r="G94" s="44"/>
      <c r="H94" s="44" t="s">
        <v>510</v>
      </c>
      <c r="I94" s="44"/>
      <c r="J94" s="44" t="s">
        <v>511</v>
      </c>
      <c r="K94" s="44"/>
      <c r="L94" s="44" t="s">
        <v>512</v>
      </c>
      <c r="M94" s="44"/>
      <c r="N94" s="45" t="s">
        <v>513</v>
      </c>
      <c r="O94" s="44"/>
      <c r="P94" s="44" t="s">
        <v>514</v>
      </c>
      <c r="Q94" s="44"/>
      <c r="R94" s="26" t="e">
        <f t="shared" si="2"/>
        <v>#VALUE!</v>
      </c>
      <c r="S94" s="26" t="e">
        <f t="shared" si="3"/>
        <v>#VALUE!</v>
      </c>
      <c r="T94" s="82"/>
    </row>
    <row r="95" spans="1:20" s="7" customFormat="1" ht="13.5" customHeight="1" x14ac:dyDescent="0.2">
      <c r="A95" s="66" t="s">
        <v>92</v>
      </c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4"/>
    </row>
    <row r="96" spans="1:20" s="7" customFormat="1" ht="6" customHeight="1" x14ac:dyDescent="0.2">
      <c r="A96" s="8"/>
      <c r="B96" s="8"/>
      <c r="C96" s="8"/>
      <c r="D96" s="8"/>
      <c r="E96" s="8"/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34" s="7" customFormat="1" ht="33" customHeight="1" x14ac:dyDescent="0.2">
      <c r="A97" s="43" t="s">
        <v>5</v>
      </c>
      <c r="B97" s="43" t="s">
        <v>53</v>
      </c>
      <c r="C97" s="43"/>
      <c r="D97" s="43" t="s">
        <v>54</v>
      </c>
      <c r="E97" s="43"/>
      <c r="F97" s="43"/>
      <c r="G97" s="43" t="s">
        <v>56</v>
      </c>
      <c r="H97" s="43"/>
      <c r="I97" s="43"/>
      <c r="J97" s="43"/>
      <c r="K97" s="43"/>
      <c r="L97" s="43"/>
      <c r="M97" s="43"/>
      <c r="N97" s="43"/>
      <c r="O97" s="43" t="s">
        <v>62</v>
      </c>
      <c r="P97" s="43"/>
      <c r="Q97" s="43"/>
      <c r="R97" s="43" t="s">
        <v>59</v>
      </c>
      <c r="S97" s="43"/>
      <c r="T97" s="11"/>
    </row>
    <row r="98" spans="1:34" s="7" customFormat="1" ht="33" customHeight="1" x14ac:dyDescent="0.2">
      <c r="A98" s="43"/>
      <c r="B98" s="43"/>
      <c r="C98" s="43"/>
      <c r="D98" s="43"/>
      <c r="E98" s="43"/>
      <c r="F98" s="43"/>
      <c r="G98" s="43" t="s">
        <v>57</v>
      </c>
      <c r="H98" s="43"/>
      <c r="I98" s="43" t="s">
        <v>58</v>
      </c>
      <c r="J98" s="43"/>
      <c r="K98" s="43" t="s">
        <v>60</v>
      </c>
      <c r="L98" s="43"/>
      <c r="M98" s="43" t="s">
        <v>61</v>
      </c>
      <c r="N98" s="43"/>
      <c r="O98" s="43"/>
      <c r="P98" s="43"/>
      <c r="Q98" s="43"/>
      <c r="R98" s="43"/>
      <c r="S98" s="43"/>
      <c r="T98" s="12"/>
    </row>
    <row r="99" spans="1:34" s="7" customFormat="1" ht="14.25" customHeight="1" x14ac:dyDescent="0.2">
      <c r="A99" s="43">
        <v>1</v>
      </c>
      <c r="B99" s="39" t="s">
        <v>30</v>
      </c>
      <c r="C99" s="39"/>
      <c r="D99" s="39" t="s">
        <v>12</v>
      </c>
      <c r="E99" s="39"/>
      <c r="F99" s="39"/>
      <c r="G99" s="40" t="s">
        <v>305</v>
      </c>
      <c r="H99" s="40"/>
      <c r="I99" s="40" t="s">
        <v>306</v>
      </c>
      <c r="J99" s="40"/>
      <c r="K99" s="40" t="s">
        <v>307</v>
      </c>
      <c r="L99" s="40"/>
      <c r="M99" s="41" t="s">
        <v>308</v>
      </c>
      <c r="N99" s="41"/>
      <c r="O99" s="42" t="e">
        <f>((M99-K99)/(G99-I99)-1)*75</f>
        <v>#VALUE!</v>
      </c>
      <c r="P99" s="42"/>
      <c r="Q99" s="42"/>
      <c r="R99" s="83" t="s">
        <v>71</v>
      </c>
      <c r="S99" s="84"/>
      <c r="T99" s="14"/>
    </row>
    <row r="100" spans="1:34" s="7" customFormat="1" ht="14.25" customHeight="1" x14ac:dyDescent="0.2">
      <c r="A100" s="43"/>
      <c r="B100" s="39" t="s">
        <v>31</v>
      </c>
      <c r="C100" s="39"/>
      <c r="D100" s="39" t="s">
        <v>7</v>
      </c>
      <c r="E100" s="39"/>
      <c r="F100" s="39"/>
      <c r="G100" s="40" t="s">
        <v>309</v>
      </c>
      <c r="H100" s="40"/>
      <c r="I100" s="40" t="s">
        <v>310</v>
      </c>
      <c r="J100" s="40"/>
      <c r="K100" s="40" t="s">
        <v>311</v>
      </c>
      <c r="L100" s="40"/>
      <c r="M100" s="41" t="s">
        <v>312</v>
      </c>
      <c r="N100" s="41"/>
      <c r="O100" s="42" t="e">
        <f t="shared" ref="O100:O104" si="4">((M100-K100)/(G100-I100)-1)*75</f>
        <v>#VALUE!</v>
      </c>
      <c r="P100" s="42"/>
      <c r="Q100" s="42"/>
      <c r="R100" s="85"/>
      <c r="S100" s="86"/>
      <c r="T100" s="14"/>
    </row>
    <row r="101" spans="1:34" s="7" customFormat="1" ht="14.25" customHeight="1" x14ac:dyDescent="0.2">
      <c r="A101" s="43"/>
      <c r="B101" s="39" t="s">
        <v>32</v>
      </c>
      <c r="C101" s="39"/>
      <c r="D101" s="39" t="s">
        <v>8</v>
      </c>
      <c r="E101" s="39"/>
      <c r="F101" s="39"/>
      <c r="G101" s="40" t="s">
        <v>313</v>
      </c>
      <c r="H101" s="40"/>
      <c r="I101" s="40" t="s">
        <v>314</v>
      </c>
      <c r="J101" s="40"/>
      <c r="K101" s="40" t="s">
        <v>315</v>
      </c>
      <c r="L101" s="40"/>
      <c r="M101" s="41" t="s">
        <v>316</v>
      </c>
      <c r="N101" s="41"/>
      <c r="O101" s="42" t="e">
        <f t="shared" si="4"/>
        <v>#VALUE!</v>
      </c>
      <c r="P101" s="42"/>
      <c r="Q101" s="42"/>
      <c r="R101" s="85"/>
      <c r="S101" s="86"/>
      <c r="T101" s="17"/>
    </row>
    <row r="102" spans="1:34" s="7" customFormat="1" ht="14.25" customHeight="1" x14ac:dyDescent="0.2">
      <c r="A102" s="43"/>
      <c r="B102" s="39" t="s">
        <v>33</v>
      </c>
      <c r="C102" s="39"/>
      <c r="D102" s="39" t="s">
        <v>9</v>
      </c>
      <c r="E102" s="39"/>
      <c r="F102" s="39"/>
      <c r="G102" s="40" t="s">
        <v>317</v>
      </c>
      <c r="H102" s="40"/>
      <c r="I102" s="40" t="s">
        <v>318</v>
      </c>
      <c r="J102" s="40"/>
      <c r="K102" s="40" t="s">
        <v>319</v>
      </c>
      <c r="L102" s="40"/>
      <c r="M102" s="41" t="s">
        <v>320</v>
      </c>
      <c r="N102" s="41"/>
      <c r="O102" s="42" t="e">
        <f t="shared" si="4"/>
        <v>#VALUE!</v>
      </c>
      <c r="P102" s="42"/>
      <c r="Q102" s="42"/>
      <c r="R102" s="85"/>
      <c r="S102" s="86"/>
      <c r="T102" s="17"/>
      <c r="X102" s="13"/>
      <c r="Y102" s="13"/>
    </row>
    <row r="103" spans="1:34" s="7" customFormat="1" ht="14.25" customHeight="1" x14ac:dyDescent="0.2">
      <c r="A103" s="43"/>
      <c r="B103" s="39" t="s">
        <v>34</v>
      </c>
      <c r="C103" s="39"/>
      <c r="D103" s="39" t="s">
        <v>10</v>
      </c>
      <c r="E103" s="39"/>
      <c r="F103" s="39"/>
      <c r="G103" s="40" t="s">
        <v>321</v>
      </c>
      <c r="H103" s="40"/>
      <c r="I103" s="40" t="s">
        <v>322</v>
      </c>
      <c r="J103" s="40"/>
      <c r="K103" s="40" t="s">
        <v>323</v>
      </c>
      <c r="L103" s="40"/>
      <c r="M103" s="41" t="s">
        <v>324</v>
      </c>
      <c r="N103" s="41"/>
      <c r="O103" s="42" t="e">
        <f t="shared" si="4"/>
        <v>#VALUE!</v>
      </c>
      <c r="P103" s="42"/>
      <c r="Q103" s="42"/>
      <c r="R103" s="85"/>
      <c r="S103" s="86"/>
      <c r="T103" s="17"/>
      <c r="X103" s="13"/>
      <c r="Y103" s="13"/>
    </row>
    <row r="104" spans="1:34" s="7" customFormat="1" ht="14.25" customHeight="1" x14ac:dyDescent="0.2">
      <c r="A104" s="43"/>
      <c r="B104" s="39" t="s">
        <v>35</v>
      </c>
      <c r="C104" s="39"/>
      <c r="D104" s="39" t="s">
        <v>11</v>
      </c>
      <c r="E104" s="39"/>
      <c r="F104" s="39"/>
      <c r="G104" s="40" t="s">
        <v>325</v>
      </c>
      <c r="H104" s="40"/>
      <c r="I104" s="40" t="s">
        <v>326</v>
      </c>
      <c r="J104" s="40"/>
      <c r="K104" s="40" t="s">
        <v>327</v>
      </c>
      <c r="L104" s="40"/>
      <c r="M104" s="41" t="s">
        <v>328</v>
      </c>
      <c r="N104" s="41"/>
      <c r="O104" s="42" t="e">
        <f t="shared" si="4"/>
        <v>#VALUE!</v>
      </c>
      <c r="P104" s="42"/>
      <c r="Q104" s="42"/>
      <c r="R104" s="85"/>
      <c r="S104" s="86"/>
      <c r="T104" s="19"/>
      <c r="X104" s="13"/>
      <c r="Y104" s="13"/>
    </row>
    <row r="105" spans="1:34" s="7" customFormat="1" ht="14.25" customHeight="1" x14ac:dyDescent="0.2">
      <c r="A105" s="43"/>
      <c r="B105" s="39" t="s">
        <v>36</v>
      </c>
      <c r="C105" s="39"/>
      <c r="D105" s="39" t="s">
        <v>55</v>
      </c>
      <c r="E105" s="39"/>
      <c r="F105" s="39"/>
      <c r="G105" s="40" t="s">
        <v>329</v>
      </c>
      <c r="H105" s="40"/>
      <c r="I105" s="40" t="s">
        <v>330</v>
      </c>
      <c r="J105" s="40"/>
      <c r="K105" s="40" t="s">
        <v>331</v>
      </c>
      <c r="L105" s="40"/>
      <c r="M105" s="41" t="s">
        <v>332</v>
      </c>
      <c r="N105" s="41"/>
      <c r="O105" s="42" t="e">
        <f>((M105-K105)/(G105-I105)-1)*60</f>
        <v>#VALUE!</v>
      </c>
      <c r="P105" s="42"/>
      <c r="Q105" s="42"/>
      <c r="R105" s="85"/>
      <c r="S105" s="86"/>
      <c r="T105" s="19"/>
    </row>
    <row r="106" spans="1:34" s="7" customFormat="1" ht="14.25" customHeight="1" x14ac:dyDescent="0.2">
      <c r="A106" s="46">
        <v>2</v>
      </c>
      <c r="B106" s="39" t="s">
        <v>30</v>
      </c>
      <c r="C106" s="39"/>
      <c r="D106" s="39" t="s">
        <v>12</v>
      </c>
      <c r="E106" s="39"/>
      <c r="F106" s="39"/>
      <c r="G106" s="40" t="s">
        <v>333</v>
      </c>
      <c r="H106" s="40"/>
      <c r="I106" s="40" t="s">
        <v>334</v>
      </c>
      <c r="J106" s="40"/>
      <c r="K106" s="40" t="s">
        <v>335</v>
      </c>
      <c r="L106" s="40"/>
      <c r="M106" s="41" t="s">
        <v>336</v>
      </c>
      <c r="N106" s="41"/>
      <c r="O106" s="42" t="e">
        <f t="shared" ref="O106:O111" si="5">((M106-K106)/(G106-I106)-1)*75</f>
        <v>#VALUE!</v>
      </c>
      <c r="P106" s="42"/>
      <c r="Q106" s="42"/>
      <c r="R106" s="85"/>
      <c r="S106" s="86"/>
      <c r="T106" s="14"/>
    </row>
    <row r="107" spans="1:34" s="7" customFormat="1" ht="14.25" customHeight="1" x14ac:dyDescent="0.2">
      <c r="A107" s="47"/>
      <c r="B107" s="39" t="s">
        <v>31</v>
      </c>
      <c r="C107" s="39"/>
      <c r="D107" s="39" t="s">
        <v>7</v>
      </c>
      <c r="E107" s="39"/>
      <c r="F107" s="39"/>
      <c r="G107" s="40" t="s">
        <v>337</v>
      </c>
      <c r="H107" s="40"/>
      <c r="I107" s="40" t="s">
        <v>338</v>
      </c>
      <c r="J107" s="40"/>
      <c r="K107" s="40" t="s">
        <v>339</v>
      </c>
      <c r="L107" s="40"/>
      <c r="M107" s="41" t="s">
        <v>340</v>
      </c>
      <c r="N107" s="41"/>
      <c r="O107" s="42" t="e">
        <f t="shared" si="5"/>
        <v>#VALUE!</v>
      </c>
      <c r="P107" s="42"/>
      <c r="Q107" s="42"/>
      <c r="R107" s="85"/>
      <c r="S107" s="86"/>
      <c r="T107" s="14"/>
    </row>
    <row r="108" spans="1:34" s="7" customFormat="1" ht="14.25" customHeight="1" x14ac:dyDescent="0.2">
      <c r="A108" s="47"/>
      <c r="B108" s="39" t="s">
        <v>32</v>
      </c>
      <c r="C108" s="39"/>
      <c r="D108" s="39" t="s">
        <v>8</v>
      </c>
      <c r="E108" s="39"/>
      <c r="F108" s="39"/>
      <c r="G108" s="40" t="s">
        <v>341</v>
      </c>
      <c r="H108" s="40"/>
      <c r="I108" s="40" t="s">
        <v>342</v>
      </c>
      <c r="J108" s="40"/>
      <c r="K108" s="40" t="s">
        <v>343</v>
      </c>
      <c r="L108" s="40"/>
      <c r="M108" s="41" t="s">
        <v>344</v>
      </c>
      <c r="N108" s="41"/>
      <c r="O108" s="42" t="e">
        <f t="shared" si="5"/>
        <v>#VALUE!</v>
      </c>
      <c r="P108" s="42"/>
      <c r="Q108" s="42"/>
      <c r="R108" s="85"/>
      <c r="S108" s="86"/>
      <c r="T108" s="17"/>
    </row>
    <row r="109" spans="1:34" s="7" customFormat="1" ht="14.25" customHeight="1" x14ac:dyDescent="0.2">
      <c r="A109" s="47"/>
      <c r="B109" s="39" t="s">
        <v>33</v>
      </c>
      <c r="C109" s="39"/>
      <c r="D109" s="39" t="s">
        <v>9</v>
      </c>
      <c r="E109" s="39"/>
      <c r="F109" s="39"/>
      <c r="G109" s="40" t="s">
        <v>345</v>
      </c>
      <c r="H109" s="40"/>
      <c r="I109" s="40" t="s">
        <v>346</v>
      </c>
      <c r="J109" s="40"/>
      <c r="K109" s="40" t="s">
        <v>347</v>
      </c>
      <c r="L109" s="40"/>
      <c r="M109" s="41" t="s">
        <v>348</v>
      </c>
      <c r="N109" s="41"/>
      <c r="O109" s="42" t="e">
        <f t="shared" si="5"/>
        <v>#VALUE!</v>
      </c>
      <c r="P109" s="42"/>
      <c r="Q109" s="42"/>
      <c r="R109" s="85"/>
      <c r="S109" s="86"/>
      <c r="T109" s="17"/>
      <c r="U109" s="18"/>
      <c r="V109" s="18"/>
      <c r="W109" s="18"/>
      <c r="X109" s="18"/>
      <c r="Y109" s="18"/>
      <c r="Z109" s="16"/>
      <c r="AA109" s="16"/>
      <c r="AB109" s="13"/>
      <c r="AC109" s="13"/>
      <c r="AG109" s="13"/>
      <c r="AH109" s="13"/>
    </row>
    <row r="110" spans="1:34" s="7" customFormat="1" ht="14.25" customHeight="1" x14ac:dyDescent="0.2">
      <c r="A110" s="47"/>
      <c r="B110" s="39" t="s">
        <v>34</v>
      </c>
      <c r="C110" s="39"/>
      <c r="D110" s="39" t="s">
        <v>10</v>
      </c>
      <c r="E110" s="39"/>
      <c r="F110" s="39"/>
      <c r="G110" s="40" t="s">
        <v>349</v>
      </c>
      <c r="H110" s="40"/>
      <c r="I110" s="40" t="s">
        <v>350</v>
      </c>
      <c r="J110" s="40"/>
      <c r="K110" s="40" t="s">
        <v>351</v>
      </c>
      <c r="L110" s="40"/>
      <c r="M110" s="41" t="s">
        <v>352</v>
      </c>
      <c r="N110" s="41"/>
      <c r="O110" s="42" t="e">
        <f t="shared" si="5"/>
        <v>#VALUE!</v>
      </c>
      <c r="P110" s="42"/>
      <c r="Q110" s="42"/>
      <c r="R110" s="85"/>
      <c r="S110" s="86"/>
      <c r="T110" s="17"/>
      <c r="U110" s="18"/>
      <c r="V110" s="18"/>
      <c r="W110" s="18"/>
      <c r="X110" s="18"/>
      <c r="Y110" s="18"/>
      <c r="Z110" s="16"/>
      <c r="AA110" s="16"/>
      <c r="AB110" s="13"/>
      <c r="AC110" s="13"/>
      <c r="AG110" s="13"/>
      <c r="AH110" s="13"/>
    </row>
    <row r="111" spans="1:34" s="7" customFormat="1" ht="14.25" customHeight="1" x14ac:dyDescent="0.2">
      <c r="A111" s="47"/>
      <c r="B111" s="39" t="s">
        <v>35</v>
      </c>
      <c r="C111" s="39"/>
      <c r="D111" s="39" t="s">
        <v>11</v>
      </c>
      <c r="E111" s="39"/>
      <c r="F111" s="39"/>
      <c r="G111" s="40" t="s">
        <v>353</v>
      </c>
      <c r="H111" s="40"/>
      <c r="I111" s="40" t="s">
        <v>354</v>
      </c>
      <c r="J111" s="40"/>
      <c r="K111" s="40" t="s">
        <v>355</v>
      </c>
      <c r="L111" s="40"/>
      <c r="M111" s="41" t="s">
        <v>356</v>
      </c>
      <c r="N111" s="41"/>
      <c r="O111" s="42" t="e">
        <f t="shared" si="5"/>
        <v>#VALUE!</v>
      </c>
      <c r="P111" s="42"/>
      <c r="Q111" s="42"/>
      <c r="R111" s="85"/>
      <c r="S111" s="86"/>
      <c r="T111" s="19"/>
      <c r="U111" s="20"/>
      <c r="V111" s="20"/>
      <c r="W111" s="20"/>
      <c r="X111" s="20"/>
      <c r="Y111" s="20"/>
      <c r="Z111" s="16"/>
      <c r="AA111" s="16"/>
      <c r="AB111" s="13"/>
      <c r="AC111" s="13"/>
      <c r="AG111" s="13"/>
      <c r="AH111" s="13"/>
    </row>
    <row r="112" spans="1:34" s="7" customFormat="1" ht="14.25" customHeight="1" x14ac:dyDescent="0.2">
      <c r="A112" s="48"/>
      <c r="B112" s="39" t="s">
        <v>36</v>
      </c>
      <c r="C112" s="39"/>
      <c r="D112" s="39" t="s">
        <v>55</v>
      </c>
      <c r="E112" s="39"/>
      <c r="F112" s="39"/>
      <c r="G112" s="40" t="s">
        <v>357</v>
      </c>
      <c r="H112" s="40"/>
      <c r="I112" s="40" t="s">
        <v>358</v>
      </c>
      <c r="J112" s="40"/>
      <c r="K112" s="40" t="s">
        <v>359</v>
      </c>
      <c r="L112" s="40"/>
      <c r="M112" s="41" t="s">
        <v>360</v>
      </c>
      <c r="N112" s="41"/>
      <c r="O112" s="42" t="e">
        <f t="shared" ref="O112" si="6">((M112-K112)/(G112-I112)-1)*60</f>
        <v>#VALUE!</v>
      </c>
      <c r="P112" s="42"/>
      <c r="Q112" s="42"/>
      <c r="R112" s="85"/>
      <c r="S112" s="86"/>
      <c r="T112" s="19"/>
      <c r="U112" s="20"/>
      <c r="V112" s="20"/>
      <c r="W112" s="20"/>
      <c r="X112" s="20"/>
      <c r="Y112" s="20"/>
      <c r="Z112" s="16"/>
      <c r="AA112" s="16"/>
      <c r="AB112" s="13"/>
      <c r="AC112" s="13"/>
    </row>
    <row r="113" spans="1:34" s="7" customFormat="1" ht="14.25" customHeight="1" x14ac:dyDescent="0.2">
      <c r="A113" s="43">
        <v>3</v>
      </c>
      <c r="B113" s="39" t="s">
        <v>30</v>
      </c>
      <c r="C113" s="39"/>
      <c r="D113" s="39" t="s">
        <v>12</v>
      </c>
      <c r="E113" s="39"/>
      <c r="F113" s="39"/>
      <c r="G113" s="40" t="s">
        <v>361</v>
      </c>
      <c r="H113" s="40"/>
      <c r="I113" s="40" t="s">
        <v>362</v>
      </c>
      <c r="J113" s="40"/>
      <c r="K113" s="40" t="s">
        <v>363</v>
      </c>
      <c r="L113" s="40"/>
      <c r="M113" s="41" t="s">
        <v>364</v>
      </c>
      <c r="N113" s="41"/>
      <c r="O113" s="42" t="e">
        <f t="shared" ref="O113:O118" si="7">((M113-K113)/(G113-I113)-1)*75</f>
        <v>#VALUE!</v>
      </c>
      <c r="P113" s="42"/>
      <c r="Q113" s="42"/>
      <c r="R113" s="85"/>
      <c r="S113" s="86"/>
      <c r="T113" s="14"/>
      <c r="U113" s="15"/>
      <c r="V113" s="15"/>
      <c r="W113" s="15"/>
      <c r="X113" s="15"/>
      <c r="Y113" s="15"/>
      <c r="Z113" s="16"/>
      <c r="AA113" s="16"/>
      <c r="AB113" s="13"/>
      <c r="AC113" s="13"/>
    </row>
    <row r="114" spans="1:34" s="7" customFormat="1" ht="14.25" customHeight="1" x14ac:dyDescent="0.2">
      <c r="A114" s="43"/>
      <c r="B114" s="39" t="s">
        <v>31</v>
      </c>
      <c r="C114" s="39"/>
      <c r="D114" s="39" t="s">
        <v>7</v>
      </c>
      <c r="E114" s="39"/>
      <c r="F114" s="39"/>
      <c r="G114" s="40" t="s">
        <v>365</v>
      </c>
      <c r="H114" s="40"/>
      <c r="I114" s="40" t="s">
        <v>366</v>
      </c>
      <c r="J114" s="40"/>
      <c r="K114" s="40" t="s">
        <v>367</v>
      </c>
      <c r="L114" s="40"/>
      <c r="M114" s="41" t="s">
        <v>368</v>
      </c>
      <c r="N114" s="41"/>
      <c r="O114" s="42" t="e">
        <f t="shared" si="7"/>
        <v>#VALUE!</v>
      </c>
      <c r="P114" s="42"/>
      <c r="Q114" s="42"/>
      <c r="R114" s="85"/>
      <c r="S114" s="86"/>
      <c r="T114" s="14"/>
      <c r="U114" s="15"/>
      <c r="V114" s="15"/>
      <c r="W114" s="15"/>
      <c r="X114" s="15"/>
      <c r="Y114" s="15"/>
      <c r="Z114" s="16"/>
      <c r="AA114" s="16"/>
      <c r="AB114" s="13"/>
      <c r="AC114" s="13"/>
    </row>
    <row r="115" spans="1:34" s="7" customFormat="1" ht="14.25" customHeight="1" x14ac:dyDescent="0.2">
      <c r="A115" s="43"/>
      <c r="B115" s="39" t="s">
        <v>32</v>
      </c>
      <c r="C115" s="39"/>
      <c r="D115" s="39" t="s">
        <v>8</v>
      </c>
      <c r="E115" s="39"/>
      <c r="F115" s="39"/>
      <c r="G115" s="40" t="s">
        <v>369</v>
      </c>
      <c r="H115" s="40"/>
      <c r="I115" s="40" t="s">
        <v>370</v>
      </c>
      <c r="J115" s="40"/>
      <c r="K115" s="40" t="s">
        <v>371</v>
      </c>
      <c r="L115" s="40"/>
      <c r="M115" s="41" t="s">
        <v>372</v>
      </c>
      <c r="N115" s="41"/>
      <c r="O115" s="42" t="e">
        <f t="shared" si="7"/>
        <v>#VALUE!</v>
      </c>
      <c r="P115" s="42"/>
      <c r="Q115" s="42"/>
      <c r="R115" s="85"/>
      <c r="S115" s="86"/>
      <c r="T115" s="17"/>
      <c r="U115" s="18"/>
      <c r="V115" s="18"/>
      <c r="W115" s="18"/>
      <c r="X115" s="18"/>
      <c r="Y115" s="18"/>
      <c r="Z115" s="16"/>
      <c r="AA115" s="16"/>
      <c r="AB115" s="13"/>
      <c r="AC115" s="13"/>
    </row>
    <row r="116" spans="1:34" s="7" customFormat="1" ht="14.25" customHeight="1" x14ac:dyDescent="0.2">
      <c r="A116" s="43"/>
      <c r="B116" s="39" t="s">
        <v>33</v>
      </c>
      <c r="C116" s="39"/>
      <c r="D116" s="39" t="s">
        <v>9</v>
      </c>
      <c r="E116" s="39"/>
      <c r="F116" s="39"/>
      <c r="G116" s="40" t="s">
        <v>373</v>
      </c>
      <c r="H116" s="40"/>
      <c r="I116" s="40" t="s">
        <v>374</v>
      </c>
      <c r="J116" s="40"/>
      <c r="K116" s="40" t="s">
        <v>375</v>
      </c>
      <c r="L116" s="40"/>
      <c r="M116" s="41" t="s">
        <v>376</v>
      </c>
      <c r="N116" s="41"/>
      <c r="O116" s="42" t="e">
        <f t="shared" si="7"/>
        <v>#VALUE!</v>
      </c>
      <c r="P116" s="42"/>
      <c r="Q116" s="42"/>
      <c r="R116" s="85"/>
      <c r="S116" s="86"/>
      <c r="T116" s="17"/>
      <c r="U116" s="18"/>
      <c r="V116" s="18"/>
      <c r="W116" s="18"/>
      <c r="X116" s="18"/>
      <c r="Y116" s="18"/>
      <c r="Z116" s="16"/>
      <c r="AA116" s="16"/>
      <c r="AB116" s="13"/>
      <c r="AC116" s="13"/>
      <c r="AG116" s="13"/>
      <c r="AH116" s="13"/>
    </row>
    <row r="117" spans="1:34" s="7" customFormat="1" ht="14.25" customHeight="1" x14ac:dyDescent="0.2">
      <c r="A117" s="43"/>
      <c r="B117" s="39" t="s">
        <v>34</v>
      </c>
      <c r="C117" s="39"/>
      <c r="D117" s="39" t="s">
        <v>10</v>
      </c>
      <c r="E117" s="39"/>
      <c r="F117" s="39"/>
      <c r="G117" s="40" t="s">
        <v>377</v>
      </c>
      <c r="H117" s="40"/>
      <c r="I117" s="40" t="s">
        <v>378</v>
      </c>
      <c r="J117" s="40"/>
      <c r="K117" s="40" t="s">
        <v>379</v>
      </c>
      <c r="L117" s="40"/>
      <c r="M117" s="41" t="s">
        <v>380</v>
      </c>
      <c r="N117" s="41"/>
      <c r="O117" s="42" t="e">
        <f t="shared" si="7"/>
        <v>#VALUE!</v>
      </c>
      <c r="P117" s="42"/>
      <c r="Q117" s="42"/>
      <c r="R117" s="85"/>
      <c r="S117" s="86"/>
      <c r="T117" s="17"/>
      <c r="U117" s="18"/>
      <c r="V117" s="18"/>
      <c r="W117" s="18"/>
      <c r="X117" s="18"/>
      <c r="Y117" s="18"/>
      <c r="Z117" s="16"/>
      <c r="AA117" s="16"/>
      <c r="AB117" s="13"/>
      <c r="AC117" s="13"/>
      <c r="AG117" s="13"/>
      <c r="AH117" s="13"/>
    </row>
    <row r="118" spans="1:34" s="7" customFormat="1" ht="14.25" customHeight="1" x14ac:dyDescent="0.2">
      <c r="A118" s="43"/>
      <c r="B118" s="39" t="s">
        <v>35</v>
      </c>
      <c r="C118" s="39"/>
      <c r="D118" s="39" t="s">
        <v>11</v>
      </c>
      <c r="E118" s="39"/>
      <c r="F118" s="39"/>
      <c r="G118" s="40" t="s">
        <v>381</v>
      </c>
      <c r="H118" s="40"/>
      <c r="I118" s="40" t="s">
        <v>382</v>
      </c>
      <c r="J118" s="40"/>
      <c r="K118" s="40" t="s">
        <v>383</v>
      </c>
      <c r="L118" s="40"/>
      <c r="M118" s="41" t="s">
        <v>384</v>
      </c>
      <c r="N118" s="41"/>
      <c r="O118" s="42" t="e">
        <f t="shared" si="7"/>
        <v>#VALUE!</v>
      </c>
      <c r="P118" s="42"/>
      <c r="Q118" s="42"/>
      <c r="R118" s="85"/>
      <c r="S118" s="86"/>
      <c r="T118" s="19"/>
      <c r="U118" s="20"/>
      <c r="V118" s="20"/>
      <c r="W118" s="20"/>
      <c r="X118" s="20"/>
      <c r="Y118" s="20"/>
      <c r="Z118" s="16"/>
      <c r="AA118" s="16"/>
      <c r="AB118" s="13"/>
      <c r="AC118" s="13"/>
      <c r="AG118" s="13"/>
      <c r="AH118" s="13"/>
    </row>
    <row r="119" spans="1:34" s="7" customFormat="1" ht="14.25" customHeight="1" x14ac:dyDescent="0.2">
      <c r="A119" s="43"/>
      <c r="B119" s="39" t="s">
        <v>36</v>
      </c>
      <c r="C119" s="39"/>
      <c r="D119" s="39" t="s">
        <v>55</v>
      </c>
      <c r="E119" s="39"/>
      <c r="F119" s="39"/>
      <c r="G119" s="40" t="s">
        <v>385</v>
      </c>
      <c r="H119" s="40"/>
      <c r="I119" s="40" t="s">
        <v>386</v>
      </c>
      <c r="J119" s="40"/>
      <c r="K119" s="40" t="s">
        <v>387</v>
      </c>
      <c r="L119" s="40"/>
      <c r="M119" s="41" t="s">
        <v>388</v>
      </c>
      <c r="N119" s="41"/>
      <c r="O119" s="42" t="e">
        <f t="shared" ref="O119" si="8">((M119-K119)/(G119-I119)-1)*60</f>
        <v>#VALUE!</v>
      </c>
      <c r="P119" s="42"/>
      <c r="Q119" s="42"/>
      <c r="R119" s="85"/>
      <c r="S119" s="86"/>
      <c r="T119" s="19"/>
      <c r="U119" s="20"/>
      <c r="V119" s="20"/>
      <c r="W119" s="20"/>
      <c r="X119" s="20"/>
      <c r="Y119" s="20"/>
      <c r="Z119" s="16"/>
      <c r="AA119" s="16"/>
      <c r="AB119" s="13"/>
      <c r="AC119" s="13"/>
    </row>
    <row r="120" spans="1:34" s="7" customFormat="1" ht="14.25" customHeight="1" x14ac:dyDescent="0.2">
      <c r="A120" s="43">
        <v>4</v>
      </c>
      <c r="B120" s="39" t="s">
        <v>30</v>
      </c>
      <c r="C120" s="39"/>
      <c r="D120" s="39" t="s">
        <v>12</v>
      </c>
      <c r="E120" s="39"/>
      <c r="F120" s="39"/>
      <c r="G120" s="40" t="s">
        <v>389</v>
      </c>
      <c r="H120" s="40"/>
      <c r="I120" s="40" t="s">
        <v>390</v>
      </c>
      <c r="J120" s="40"/>
      <c r="K120" s="40" t="s">
        <v>391</v>
      </c>
      <c r="L120" s="40"/>
      <c r="M120" s="41" t="s">
        <v>392</v>
      </c>
      <c r="N120" s="41"/>
      <c r="O120" s="42" t="e">
        <f t="shared" ref="O120:O125" si="9">((M120-K120)/(G120-I120)-1)*75</f>
        <v>#VALUE!</v>
      </c>
      <c r="P120" s="42"/>
      <c r="Q120" s="42"/>
      <c r="R120" s="85"/>
      <c r="S120" s="86"/>
      <c r="T120" s="14"/>
      <c r="U120" s="15"/>
      <c r="V120" s="15"/>
      <c r="W120" s="15"/>
      <c r="X120" s="15"/>
      <c r="Y120" s="15"/>
      <c r="Z120" s="16"/>
      <c r="AA120" s="16"/>
      <c r="AB120" s="13"/>
      <c r="AC120" s="13"/>
    </row>
    <row r="121" spans="1:34" s="7" customFormat="1" ht="14.25" customHeight="1" x14ac:dyDescent="0.2">
      <c r="A121" s="43"/>
      <c r="B121" s="39" t="s">
        <v>31</v>
      </c>
      <c r="C121" s="39"/>
      <c r="D121" s="39" t="s">
        <v>7</v>
      </c>
      <c r="E121" s="39"/>
      <c r="F121" s="39"/>
      <c r="G121" s="40" t="s">
        <v>393</v>
      </c>
      <c r="H121" s="40"/>
      <c r="I121" s="40" t="s">
        <v>394</v>
      </c>
      <c r="J121" s="40"/>
      <c r="K121" s="40" t="s">
        <v>395</v>
      </c>
      <c r="L121" s="40"/>
      <c r="M121" s="41" t="s">
        <v>396</v>
      </c>
      <c r="N121" s="41"/>
      <c r="O121" s="42" t="e">
        <f t="shared" si="9"/>
        <v>#VALUE!</v>
      </c>
      <c r="P121" s="42"/>
      <c r="Q121" s="42"/>
      <c r="R121" s="85"/>
      <c r="S121" s="86"/>
      <c r="T121" s="14"/>
      <c r="U121" s="15"/>
      <c r="V121" s="15"/>
      <c r="W121" s="15"/>
      <c r="X121" s="15"/>
      <c r="Y121" s="15"/>
      <c r="Z121" s="16"/>
      <c r="AA121" s="16"/>
      <c r="AB121" s="13"/>
      <c r="AC121" s="13"/>
    </row>
    <row r="122" spans="1:34" s="7" customFormat="1" ht="14.25" customHeight="1" x14ac:dyDescent="0.2">
      <c r="A122" s="43"/>
      <c r="B122" s="39" t="s">
        <v>32</v>
      </c>
      <c r="C122" s="39"/>
      <c r="D122" s="39" t="s">
        <v>8</v>
      </c>
      <c r="E122" s="39"/>
      <c r="F122" s="39"/>
      <c r="G122" s="40" t="s">
        <v>397</v>
      </c>
      <c r="H122" s="40"/>
      <c r="I122" s="40" t="s">
        <v>398</v>
      </c>
      <c r="J122" s="40"/>
      <c r="K122" s="40" t="s">
        <v>399</v>
      </c>
      <c r="L122" s="40"/>
      <c r="M122" s="41" t="s">
        <v>400</v>
      </c>
      <c r="N122" s="41"/>
      <c r="O122" s="42" t="e">
        <f t="shared" si="9"/>
        <v>#VALUE!</v>
      </c>
      <c r="P122" s="42"/>
      <c r="Q122" s="42"/>
      <c r="R122" s="85"/>
      <c r="S122" s="86"/>
      <c r="T122" s="17"/>
      <c r="U122" s="18"/>
      <c r="V122" s="18"/>
      <c r="W122" s="18"/>
      <c r="X122" s="18"/>
      <c r="Y122" s="18"/>
      <c r="Z122" s="16"/>
      <c r="AA122" s="16"/>
      <c r="AB122" s="13"/>
      <c r="AC122" s="13"/>
    </row>
    <row r="123" spans="1:34" s="7" customFormat="1" ht="14.25" customHeight="1" x14ac:dyDescent="0.2">
      <c r="A123" s="43"/>
      <c r="B123" s="39" t="s">
        <v>33</v>
      </c>
      <c r="C123" s="39"/>
      <c r="D123" s="39" t="s">
        <v>9</v>
      </c>
      <c r="E123" s="39"/>
      <c r="F123" s="39"/>
      <c r="G123" s="40" t="s">
        <v>401</v>
      </c>
      <c r="H123" s="40"/>
      <c r="I123" s="40" t="s">
        <v>402</v>
      </c>
      <c r="J123" s="40"/>
      <c r="K123" s="40" t="s">
        <v>403</v>
      </c>
      <c r="L123" s="40"/>
      <c r="M123" s="41" t="s">
        <v>404</v>
      </c>
      <c r="N123" s="41"/>
      <c r="O123" s="42" t="e">
        <f t="shared" si="9"/>
        <v>#VALUE!</v>
      </c>
      <c r="P123" s="42"/>
      <c r="Q123" s="42"/>
      <c r="R123" s="85"/>
      <c r="S123" s="86"/>
      <c r="T123" s="17"/>
      <c r="U123" s="18"/>
      <c r="V123" s="18"/>
      <c r="W123" s="18"/>
      <c r="X123" s="18"/>
      <c r="Y123" s="18"/>
      <c r="Z123" s="16"/>
      <c r="AA123" s="16"/>
      <c r="AB123" s="13"/>
      <c r="AC123" s="13"/>
      <c r="AG123" s="13"/>
      <c r="AH123" s="13"/>
    </row>
    <row r="124" spans="1:34" s="7" customFormat="1" ht="14.25" customHeight="1" x14ac:dyDescent="0.2">
      <c r="A124" s="43"/>
      <c r="B124" s="39" t="s">
        <v>34</v>
      </c>
      <c r="C124" s="39"/>
      <c r="D124" s="39" t="s">
        <v>10</v>
      </c>
      <c r="E124" s="39"/>
      <c r="F124" s="39"/>
      <c r="G124" s="40" t="s">
        <v>405</v>
      </c>
      <c r="H124" s="40"/>
      <c r="I124" s="40" t="s">
        <v>406</v>
      </c>
      <c r="J124" s="40"/>
      <c r="K124" s="40" t="s">
        <v>407</v>
      </c>
      <c r="L124" s="40"/>
      <c r="M124" s="41" t="s">
        <v>408</v>
      </c>
      <c r="N124" s="41"/>
      <c r="O124" s="42" t="e">
        <f t="shared" si="9"/>
        <v>#VALUE!</v>
      </c>
      <c r="P124" s="42"/>
      <c r="Q124" s="42"/>
      <c r="R124" s="85"/>
      <c r="S124" s="86"/>
      <c r="T124" s="17"/>
      <c r="U124" s="18"/>
      <c r="V124" s="18"/>
      <c r="W124" s="18"/>
      <c r="X124" s="18"/>
      <c r="Y124" s="18"/>
      <c r="Z124" s="16"/>
      <c r="AA124" s="16"/>
      <c r="AB124" s="13"/>
      <c r="AC124" s="13"/>
      <c r="AG124" s="13"/>
      <c r="AH124" s="13"/>
    </row>
    <row r="125" spans="1:34" s="7" customFormat="1" ht="14.25" customHeight="1" x14ac:dyDescent="0.2">
      <c r="A125" s="43"/>
      <c r="B125" s="39" t="s">
        <v>35</v>
      </c>
      <c r="C125" s="39"/>
      <c r="D125" s="39" t="s">
        <v>11</v>
      </c>
      <c r="E125" s="39"/>
      <c r="F125" s="39"/>
      <c r="G125" s="40" t="s">
        <v>409</v>
      </c>
      <c r="H125" s="40"/>
      <c r="I125" s="40" t="s">
        <v>410</v>
      </c>
      <c r="J125" s="40"/>
      <c r="K125" s="40" t="s">
        <v>411</v>
      </c>
      <c r="L125" s="40"/>
      <c r="M125" s="41" t="s">
        <v>412</v>
      </c>
      <c r="N125" s="41"/>
      <c r="O125" s="42" t="e">
        <f t="shared" si="9"/>
        <v>#VALUE!</v>
      </c>
      <c r="P125" s="42"/>
      <c r="Q125" s="42"/>
      <c r="R125" s="85"/>
      <c r="S125" s="86"/>
      <c r="T125" s="19"/>
      <c r="U125" s="20"/>
      <c r="V125" s="20"/>
      <c r="W125" s="20"/>
      <c r="X125" s="20"/>
      <c r="Y125" s="20"/>
      <c r="Z125" s="16"/>
      <c r="AA125" s="16"/>
      <c r="AB125" s="13"/>
      <c r="AC125" s="13"/>
      <c r="AG125" s="13"/>
      <c r="AH125" s="13"/>
    </row>
    <row r="126" spans="1:34" s="7" customFormat="1" ht="14.25" customHeight="1" x14ac:dyDescent="0.2">
      <c r="A126" s="43"/>
      <c r="B126" s="39" t="s">
        <v>36</v>
      </c>
      <c r="C126" s="39"/>
      <c r="D126" s="39" t="s">
        <v>55</v>
      </c>
      <c r="E126" s="39"/>
      <c r="F126" s="39"/>
      <c r="G126" s="40" t="s">
        <v>413</v>
      </c>
      <c r="H126" s="40"/>
      <c r="I126" s="40" t="s">
        <v>414</v>
      </c>
      <c r="J126" s="40"/>
      <c r="K126" s="40" t="s">
        <v>415</v>
      </c>
      <c r="L126" s="40"/>
      <c r="M126" s="41" t="s">
        <v>416</v>
      </c>
      <c r="N126" s="41"/>
      <c r="O126" s="42" t="e">
        <f t="shared" ref="O126" si="10">((M126-K126)/(G126-I126)-1)*60</f>
        <v>#VALUE!</v>
      </c>
      <c r="P126" s="42"/>
      <c r="Q126" s="42"/>
      <c r="R126" s="87"/>
      <c r="S126" s="88"/>
      <c r="T126" s="19"/>
      <c r="U126" s="20"/>
      <c r="V126" s="20"/>
      <c r="W126" s="20"/>
      <c r="X126" s="20"/>
      <c r="Y126" s="20"/>
      <c r="Z126" s="16"/>
      <c r="AA126" s="16"/>
      <c r="AB126" s="13"/>
      <c r="AC126" s="13"/>
    </row>
    <row r="127" spans="1:34" s="7" customFormat="1" ht="33" customHeight="1" x14ac:dyDescent="0.2">
      <c r="A127" s="43" t="s">
        <v>5</v>
      </c>
      <c r="B127" s="43" t="s">
        <v>53</v>
      </c>
      <c r="C127" s="43"/>
      <c r="D127" s="43" t="s">
        <v>54</v>
      </c>
      <c r="E127" s="43"/>
      <c r="F127" s="43"/>
      <c r="G127" s="43" t="s">
        <v>56</v>
      </c>
      <c r="H127" s="43"/>
      <c r="I127" s="43"/>
      <c r="J127" s="43"/>
      <c r="K127" s="43"/>
      <c r="L127" s="43"/>
      <c r="M127" s="43"/>
      <c r="N127" s="43"/>
      <c r="O127" s="43" t="s">
        <v>62</v>
      </c>
      <c r="P127" s="43"/>
      <c r="Q127" s="43"/>
      <c r="R127" s="43" t="s">
        <v>59</v>
      </c>
      <c r="S127" s="43"/>
      <c r="T127" s="11"/>
    </row>
    <row r="128" spans="1:34" s="7" customFormat="1" ht="33" customHeight="1" x14ac:dyDescent="0.2">
      <c r="A128" s="43"/>
      <c r="B128" s="43"/>
      <c r="C128" s="43"/>
      <c r="D128" s="43"/>
      <c r="E128" s="43"/>
      <c r="F128" s="43"/>
      <c r="G128" s="43" t="s">
        <v>57</v>
      </c>
      <c r="H128" s="43"/>
      <c r="I128" s="43" t="s">
        <v>58</v>
      </c>
      <c r="J128" s="43"/>
      <c r="K128" s="43" t="s">
        <v>60</v>
      </c>
      <c r="L128" s="43"/>
      <c r="M128" s="43" t="s">
        <v>61</v>
      </c>
      <c r="N128" s="43"/>
      <c r="O128" s="43"/>
      <c r="P128" s="43"/>
      <c r="Q128" s="43"/>
      <c r="R128" s="43"/>
      <c r="S128" s="43"/>
      <c r="T128" s="12"/>
    </row>
    <row r="129" spans="1:34" s="7" customFormat="1" ht="15" customHeight="1" x14ac:dyDescent="0.2">
      <c r="A129" s="43" t="s">
        <v>74</v>
      </c>
      <c r="B129" s="39" t="s">
        <v>30</v>
      </c>
      <c r="C129" s="39"/>
      <c r="D129" s="39" t="s">
        <v>12</v>
      </c>
      <c r="E129" s="39"/>
      <c r="F129" s="39"/>
      <c r="G129" s="40" t="s">
        <v>515</v>
      </c>
      <c r="H129" s="40"/>
      <c r="I129" s="40" t="s">
        <v>516</v>
      </c>
      <c r="J129" s="40"/>
      <c r="K129" s="40" t="s">
        <v>517</v>
      </c>
      <c r="L129" s="40"/>
      <c r="M129" s="41" t="s">
        <v>518</v>
      </c>
      <c r="N129" s="41"/>
      <c r="O129" s="42" t="e">
        <f t="shared" ref="O129:O134" si="11">((M129-K129)/(G129-I129)-1)*75</f>
        <v>#VALUE!</v>
      </c>
      <c r="P129" s="42"/>
      <c r="Q129" s="42"/>
      <c r="R129" s="83" t="s">
        <v>71</v>
      </c>
      <c r="S129" s="84"/>
      <c r="T129" s="14"/>
      <c r="U129" s="15"/>
      <c r="V129" s="15"/>
      <c r="W129" s="15"/>
      <c r="X129" s="15"/>
      <c r="Y129" s="15"/>
      <c r="Z129" s="16"/>
      <c r="AA129" s="16"/>
      <c r="AB129" s="13"/>
      <c r="AC129" s="13"/>
    </row>
    <row r="130" spans="1:34" s="7" customFormat="1" ht="15" customHeight="1" x14ac:dyDescent="0.2">
      <c r="A130" s="43"/>
      <c r="B130" s="39" t="s">
        <v>31</v>
      </c>
      <c r="C130" s="39"/>
      <c r="D130" s="39" t="s">
        <v>7</v>
      </c>
      <c r="E130" s="39"/>
      <c r="F130" s="39"/>
      <c r="G130" s="40" t="s">
        <v>519</v>
      </c>
      <c r="H130" s="40"/>
      <c r="I130" s="40" t="s">
        <v>520</v>
      </c>
      <c r="J130" s="40"/>
      <c r="K130" s="40" t="s">
        <v>521</v>
      </c>
      <c r="L130" s="40"/>
      <c r="M130" s="41" t="s">
        <v>522</v>
      </c>
      <c r="N130" s="41"/>
      <c r="O130" s="42" t="e">
        <f t="shared" si="11"/>
        <v>#VALUE!</v>
      </c>
      <c r="P130" s="42"/>
      <c r="Q130" s="42"/>
      <c r="R130" s="85"/>
      <c r="S130" s="86"/>
      <c r="T130" s="14"/>
      <c r="U130" s="15"/>
      <c r="V130" s="15"/>
      <c r="W130" s="15"/>
      <c r="X130" s="15"/>
      <c r="Y130" s="15"/>
      <c r="Z130" s="16"/>
      <c r="AA130" s="16"/>
      <c r="AB130" s="13"/>
      <c r="AC130" s="13"/>
    </row>
    <row r="131" spans="1:34" s="7" customFormat="1" ht="15" customHeight="1" x14ac:dyDescent="0.2">
      <c r="A131" s="43"/>
      <c r="B131" s="39" t="s">
        <v>32</v>
      </c>
      <c r="C131" s="39"/>
      <c r="D131" s="39" t="s">
        <v>8</v>
      </c>
      <c r="E131" s="39"/>
      <c r="F131" s="39"/>
      <c r="G131" s="40" t="s">
        <v>523</v>
      </c>
      <c r="H131" s="40"/>
      <c r="I131" s="40" t="s">
        <v>524</v>
      </c>
      <c r="J131" s="40"/>
      <c r="K131" s="40" t="s">
        <v>525</v>
      </c>
      <c r="L131" s="40"/>
      <c r="M131" s="41" t="s">
        <v>526</v>
      </c>
      <c r="N131" s="41"/>
      <c r="O131" s="42" t="e">
        <f t="shared" si="11"/>
        <v>#VALUE!</v>
      </c>
      <c r="P131" s="42"/>
      <c r="Q131" s="42"/>
      <c r="R131" s="85"/>
      <c r="S131" s="86"/>
      <c r="T131" s="17"/>
      <c r="U131" s="18"/>
      <c r="V131" s="18"/>
      <c r="W131" s="18"/>
      <c r="X131" s="18"/>
      <c r="Y131" s="18"/>
      <c r="Z131" s="16"/>
      <c r="AA131" s="16"/>
      <c r="AB131" s="13"/>
      <c r="AC131" s="13"/>
    </row>
    <row r="132" spans="1:34" s="7" customFormat="1" ht="15" customHeight="1" x14ac:dyDescent="0.2">
      <c r="A132" s="43"/>
      <c r="B132" s="39" t="s">
        <v>33</v>
      </c>
      <c r="C132" s="39"/>
      <c r="D132" s="39" t="s">
        <v>9</v>
      </c>
      <c r="E132" s="39"/>
      <c r="F132" s="39"/>
      <c r="G132" s="40" t="s">
        <v>527</v>
      </c>
      <c r="H132" s="40"/>
      <c r="I132" s="40" t="s">
        <v>528</v>
      </c>
      <c r="J132" s="40"/>
      <c r="K132" s="40" t="s">
        <v>529</v>
      </c>
      <c r="L132" s="40"/>
      <c r="M132" s="41" t="s">
        <v>530</v>
      </c>
      <c r="N132" s="41"/>
      <c r="O132" s="42" t="e">
        <f t="shared" si="11"/>
        <v>#VALUE!</v>
      </c>
      <c r="P132" s="42"/>
      <c r="Q132" s="42"/>
      <c r="R132" s="85"/>
      <c r="S132" s="86"/>
      <c r="T132" s="17"/>
      <c r="U132" s="18"/>
      <c r="V132" s="18"/>
      <c r="W132" s="18"/>
      <c r="X132" s="18"/>
      <c r="Y132" s="18"/>
      <c r="Z132" s="16"/>
      <c r="AA132" s="16"/>
      <c r="AB132" s="13"/>
      <c r="AC132" s="13"/>
      <c r="AG132" s="13"/>
      <c r="AH132" s="13"/>
    </row>
    <row r="133" spans="1:34" s="7" customFormat="1" ht="15" customHeight="1" x14ac:dyDescent="0.2">
      <c r="A133" s="43"/>
      <c r="B133" s="39" t="s">
        <v>34</v>
      </c>
      <c r="C133" s="39"/>
      <c r="D133" s="39" t="s">
        <v>10</v>
      </c>
      <c r="E133" s="39"/>
      <c r="F133" s="39"/>
      <c r="G133" s="40" t="s">
        <v>531</v>
      </c>
      <c r="H133" s="40"/>
      <c r="I133" s="40" t="s">
        <v>532</v>
      </c>
      <c r="J133" s="40"/>
      <c r="K133" s="40" t="s">
        <v>533</v>
      </c>
      <c r="L133" s="40"/>
      <c r="M133" s="41" t="s">
        <v>534</v>
      </c>
      <c r="N133" s="41"/>
      <c r="O133" s="42" t="e">
        <f t="shared" si="11"/>
        <v>#VALUE!</v>
      </c>
      <c r="P133" s="42"/>
      <c r="Q133" s="42"/>
      <c r="R133" s="85"/>
      <c r="S133" s="86"/>
      <c r="T133" s="17"/>
      <c r="U133" s="18"/>
      <c r="V133" s="18"/>
      <c r="W133" s="18"/>
      <c r="X133" s="18"/>
      <c r="Y133" s="18"/>
      <c r="Z133" s="16"/>
      <c r="AA133" s="16"/>
      <c r="AB133" s="13"/>
      <c r="AC133" s="13"/>
      <c r="AG133" s="13"/>
      <c r="AH133" s="13"/>
    </row>
    <row r="134" spans="1:34" s="7" customFormat="1" ht="15" customHeight="1" x14ac:dyDescent="0.2">
      <c r="A134" s="43"/>
      <c r="B134" s="39" t="s">
        <v>35</v>
      </c>
      <c r="C134" s="39"/>
      <c r="D134" s="39" t="s">
        <v>11</v>
      </c>
      <c r="E134" s="39"/>
      <c r="F134" s="39"/>
      <c r="G134" s="40" t="s">
        <v>535</v>
      </c>
      <c r="H134" s="40"/>
      <c r="I134" s="40" t="s">
        <v>536</v>
      </c>
      <c r="J134" s="40"/>
      <c r="K134" s="40" t="s">
        <v>537</v>
      </c>
      <c r="L134" s="40"/>
      <c r="M134" s="41" t="s">
        <v>538</v>
      </c>
      <c r="N134" s="41"/>
      <c r="O134" s="42" t="e">
        <f t="shared" si="11"/>
        <v>#VALUE!</v>
      </c>
      <c r="P134" s="42"/>
      <c r="Q134" s="42"/>
      <c r="R134" s="85"/>
      <c r="S134" s="86"/>
      <c r="T134" s="19"/>
      <c r="U134" s="20"/>
      <c r="V134" s="20"/>
      <c r="W134" s="20"/>
      <c r="X134" s="20"/>
      <c r="Y134" s="20"/>
      <c r="Z134" s="16"/>
      <c r="AA134" s="16"/>
      <c r="AB134" s="13"/>
      <c r="AC134" s="13"/>
      <c r="AG134" s="13"/>
      <c r="AH134" s="13"/>
    </row>
    <row r="135" spans="1:34" s="7" customFormat="1" ht="15" customHeight="1" x14ac:dyDescent="0.2">
      <c r="A135" s="43"/>
      <c r="B135" s="39" t="s">
        <v>36</v>
      </c>
      <c r="C135" s="39"/>
      <c r="D135" s="39" t="s">
        <v>55</v>
      </c>
      <c r="E135" s="39"/>
      <c r="F135" s="39"/>
      <c r="G135" s="40" t="s">
        <v>539</v>
      </c>
      <c r="H135" s="40"/>
      <c r="I135" s="40" t="s">
        <v>540</v>
      </c>
      <c r="J135" s="40"/>
      <c r="K135" s="40" t="s">
        <v>541</v>
      </c>
      <c r="L135" s="40"/>
      <c r="M135" s="41" t="s">
        <v>542</v>
      </c>
      <c r="N135" s="41"/>
      <c r="O135" s="42" t="e">
        <f t="shared" ref="O135" si="12">((M135-K135)/(G135-I135)-1)*60</f>
        <v>#VALUE!</v>
      </c>
      <c r="P135" s="42"/>
      <c r="Q135" s="42"/>
      <c r="R135" s="85"/>
      <c r="S135" s="86"/>
      <c r="T135" s="19"/>
      <c r="U135" s="20"/>
      <c r="V135" s="20"/>
      <c r="W135" s="20"/>
      <c r="X135" s="20"/>
      <c r="Y135" s="20"/>
      <c r="Z135" s="16"/>
      <c r="AA135" s="16"/>
      <c r="AB135" s="13"/>
      <c r="AC135" s="13"/>
    </row>
    <row r="136" spans="1:34" s="7" customFormat="1" ht="15" customHeight="1" x14ac:dyDescent="0.2">
      <c r="A136" s="43" t="s">
        <v>75</v>
      </c>
      <c r="B136" s="39" t="s">
        <v>30</v>
      </c>
      <c r="C136" s="39"/>
      <c r="D136" s="39" t="s">
        <v>12</v>
      </c>
      <c r="E136" s="39"/>
      <c r="F136" s="39"/>
      <c r="G136" s="40" t="s">
        <v>543</v>
      </c>
      <c r="H136" s="40"/>
      <c r="I136" s="40" t="s">
        <v>544</v>
      </c>
      <c r="J136" s="40"/>
      <c r="K136" s="40" t="s">
        <v>545</v>
      </c>
      <c r="L136" s="40"/>
      <c r="M136" s="41" t="s">
        <v>546</v>
      </c>
      <c r="N136" s="41"/>
      <c r="O136" s="42" t="e">
        <f t="shared" ref="O136:O141" si="13">((M136-K136)/(G136-I136)-1)*75</f>
        <v>#VALUE!</v>
      </c>
      <c r="P136" s="42"/>
      <c r="Q136" s="42"/>
      <c r="R136" s="85"/>
      <c r="S136" s="86"/>
      <c r="T136" s="14"/>
      <c r="U136" s="15"/>
      <c r="V136" s="15"/>
      <c r="W136" s="15"/>
      <c r="X136" s="15"/>
      <c r="Y136" s="15"/>
      <c r="Z136" s="16"/>
      <c r="AA136" s="16"/>
      <c r="AB136" s="13"/>
      <c r="AC136" s="13"/>
    </row>
    <row r="137" spans="1:34" s="7" customFormat="1" ht="15" customHeight="1" x14ac:dyDescent="0.2">
      <c r="A137" s="43"/>
      <c r="B137" s="39" t="s">
        <v>31</v>
      </c>
      <c r="C137" s="39"/>
      <c r="D137" s="39" t="s">
        <v>7</v>
      </c>
      <c r="E137" s="39"/>
      <c r="F137" s="39"/>
      <c r="G137" s="40" t="s">
        <v>547</v>
      </c>
      <c r="H137" s="40"/>
      <c r="I137" s="40" t="s">
        <v>548</v>
      </c>
      <c r="J137" s="40"/>
      <c r="K137" s="40" t="s">
        <v>549</v>
      </c>
      <c r="L137" s="40"/>
      <c r="M137" s="41" t="s">
        <v>550</v>
      </c>
      <c r="N137" s="41"/>
      <c r="O137" s="42" t="e">
        <f t="shared" si="13"/>
        <v>#VALUE!</v>
      </c>
      <c r="P137" s="42"/>
      <c r="Q137" s="42"/>
      <c r="R137" s="85"/>
      <c r="S137" s="86"/>
      <c r="T137" s="14"/>
      <c r="U137" s="15"/>
      <c r="V137" s="15"/>
      <c r="W137" s="15"/>
      <c r="X137" s="15"/>
      <c r="Y137" s="15"/>
      <c r="Z137" s="16"/>
      <c r="AA137" s="16"/>
      <c r="AB137" s="13"/>
      <c r="AC137" s="13"/>
    </row>
    <row r="138" spans="1:34" s="7" customFormat="1" ht="15" customHeight="1" x14ac:dyDescent="0.2">
      <c r="A138" s="43"/>
      <c r="B138" s="39" t="s">
        <v>32</v>
      </c>
      <c r="C138" s="39"/>
      <c r="D138" s="39" t="s">
        <v>8</v>
      </c>
      <c r="E138" s="39"/>
      <c r="F138" s="39"/>
      <c r="G138" s="40" t="s">
        <v>551</v>
      </c>
      <c r="H138" s="40"/>
      <c r="I138" s="40" t="s">
        <v>552</v>
      </c>
      <c r="J138" s="40"/>
      <c r="K138" s="40" t="s">
        <v>553</v>
      </c>
      <c r="L138" s="40"/>
      <c r="M138" s="41" t="s">
        <v>554</v>
      </c>
      <c r="N138" s="41"/>
      <c r="O138" s="42" t="e">
        <f t="shared" si="13"/>
        <v>#VALUE!</v>
      </c>
      <c r="P138" s="42"/>
      <c r="Q138" s="42"/>
      <c r="R138" s="85"/>
      <c r="S138" s="86"/>
      <c r="T138" s="17"/>
      <c r="U138" s="18"/>
      <c r="V138" s="18"/>
      <c r="W138" s="18"/>
      <c r="X138" s="18"/>
      <c r="Y138" s="18"/>
      <c r="Z138" s="16"/>
      <c r="AA138" s="16"/>
      <c r="AB138" s="13"/>
      <c r="AC138" s="13"/>
    </row>
    <row r="139" spans="1:34" s="7" customFormat="1" ht="15" customHeight="1" x14ac:dyDescent="0.2">
      <c r="A139" s="43"/>
      <c r="B139" s="39" t="s">
        <v>33</v>
      </c>
      <c r="C139" s="39"/>
      <c r="D139" s="39" t="s">
        <v>9</v>
      </c>
      <c r="E139" s="39"/>
      <c r="F139" s="39"/>
      <c r="G139" s="40" t="s">
        <v>555</v>
      </c>
      <c r="H139" s="40"/>
      <c r="I139" s="40" t="s">
        <v>556</v>
      </c>
      <c r="J139" s="40"/>
      <c r="K139" s="40" t="s">
        <v>557</v>
      </c>
      <c r="L139" s="40"/>
      <c r="M139" s="41" t="s">
        <v>558</v>
      </c>
      <c r="N139" s="41"/>
      <c r="O139" s="42" t="e">
        <f t="shared" si="13"/>
        <v>#VALUE!</v>
      </c>
      <c r="P139" s="42"/>
      <c r="Q139" s="42"/>
      <c r="R139" s="85"/>
      <c r="S139" s="86"/>
      <c r="T139" s="17"/>
      <c r="U139" s="18"/>
      <c r="V139" s="18"/>
      <c r="W139" s="18"/>
      <c r="X139" s="18"/>
      <c r="Y139" s="18"/>
      <c r="Z139" s="16"/>
      <c r="AA139" s="16"/>
      <c r="AB139" s="13"/>
      <c r="AC139" s="13"/>
      <c r="AG139" s="13"/>
      <c r="AH139" s="13"/>
    </row>
    <row r="140" spans="1:34" s="7" customFormat="1" ht="15" customHeight="1" x14ac:dyDescent="0.2">
      <c r="A140" s="43"/>
      <c r="B140" s="39" t="s">
        <v>34</v>
      </c>
      <c r="C140" s="39"/>
      <c r="D140" s="39" t="s">
        <v>10</v>
      </c>
      <c r="E140" s="39"/>
      <c r="F140" s="39"/>
      <c r="G140" s="40" t="s">
        <v>559</v>
      </c>
      <c r="H140" s="40"/>
      <c r="I140" s="40" t="s">
        <v>560</v>
      </c>
      <c r="J140" s="40"/>
      <c r="K140" s="40" t="s">
        <v>561</v>
      </c>
      <c r="L140" s="40"/>
      <c r="M140" s="41" t="s">
        <v>562</v>
      </c>
      <c r="N140" s="41"/>
      <c r="O140" s="42" t="e">
        <f t="shared" si="13"/>
        <v>#VALUE!</v>
      </c>
      <c r="P140" s="42"/>
      <c r="Q140" s="42"/>
      <c r="R140" s="85"/>
      <c r="S140" s="86"/>
      <c r="T140" s="17"/>
      <c r="U140" s="18"/>
      <c r="V140" s="18"/>
      <c r="W140" s="18"/>
      <c r="X140" s="18"/>
      <c r="Y140" s="18"/>
      <c r="Z140" s="16"/>
      <c r="AA140" s="16"/>
      <c r="AB140" s="13"/>
      <c r="AC140" s="13"/>
      <c r="AG140" s="13"/>
      <c r="AH140" s="13"/>
    </row>
    <row r="141" spans="1:34" s="7" customFormat="1" ht="15" customHeight="1" x14ac:dyDescent="0.2">
      <c r="A141" s="43"/>
      <c r="B141" s="39" t="s">
        <v>35</v>
      </c>
      <c r="C141" s="39"/>
      <c r="D141" s="39" t="s">
        <v>11</v>
      </c>
      <c r="E141" s="39"/>
      <c r="F141" s="39"/>
      <c r="G141" s="40" t="s">
        <v>563</v>
      </c>
      <c r="H141" s="40"/>
      <c r="I141" s="40" t="s">
        <v>564</v>
      </c>
      <c r="J141" s="40"/>
      <c r="K141" s="40" t="s">
        <v>565</v>
      </c>
      <c r="L141" s="40"/>
      <c r="M141" s="41" t="s">
        <v>566</v>
      </c>
      <c r="N141" s="41"/>
      <c r="O141" s="42" t="e">
        <f t="shared" si="13"/>
        <v>#VALUE!</v>
      </c>
      <c r="P141" s="42"/>
      <c r="Q141" s="42"/>
      <c r="R141" s="85"/>
      <c r="S141" s="86"/>
      <c r="T141" s="19"/>
      <c r="U141" s="20"/>
      <c r="V141" s="20"/>
      <c r="W141" s="20"/>
      <c r="X141" s="20"/>
      <c r="Y141" s="20"/>
      <c r="Z141" s="16"/>
      <c r="AA141" s="16"/>
      <c r="AB141" s="13"/>
      <c r="AC141" s="13"/>
      <c r="AG141" s="13"/>
      <c r="AH141" s="13"/>
    </row>
    <row r="142" spans="1:34" s="7" customFormat="1" ht="15" customHeight="1" x14ac:dyDescent="0.2">
      <c r="A142" s="43"/>
      <c r="B142" s="39" t="s">
        <v>36</v>
      </c>
      <c r="C142" s="39"/>
      <c r="D142" s="39" t="s">
        <v>55</v>
      </c>
      <c r="E142" s="39"/>
      <c r="F142" s="39"/>
      <c r="G142" s="40" t="s">
        <v>567</v>
      </c>
      <c r="H142" s="40"/>
      <c r="I142" s="40" t="s">
        <v>568</v>
      </c>
      <c r="J142" s="40"/>
      <c r="K142" s="40" t="s">
        <v>569</v>
      </c>
      <c r="L142" s="40"/>
      <c r="M142" s="41" t="s">
        <v>570</v>
      </c>
      <c r="N142" s="41"/>
      <c r="O142" s="42" t="e">
        <f t="shared" ref="O142" si="14">((M142-K142)/(G142-I142)-1)*60</f>
        <v>#VALUE!</v>
      </c>
      <c r="P142" s="42"/>
      <c r="Q142" s="42"/>
      <c r="R142" s="87"/>
      <c r="S142" s="88"/>
      <c r="T142" s="19"/>
      <c r="U142" s="20"/>
      <c r="V142" s="20"/>
      <c r="W142" s="20"/>
      <c r="X142" s="20"/>
      <c r="Y142" s="20"/>
      <c r="Z142" s="16"/>
      <c r="AA142" s="16"/>
      <c r="AB142" s="13"/>
      <c r="AC142" s="13"/>
    </row>
    <row r="143" spans="1:34" s="7" customFormat="1" ht="6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34" s="7" customFormat="1" x14ac:dyDescent="0.2">
      <c r="A144" s="4" t="s">
        <v>93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s="7" customFormat="1" ht="6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s="7" customFormat="1" ht="55.5" customHeight="1" x14ac:dyDescent="0.2">
      <c r="A146" s="39" t="s">
        <v>65</v>
      </c>
      <c r="B146" s="39"/>
      <c r="C146" s="39" t="s">
        <v>63</v>
      </c>
      <c r="D146" s="39"/>
      <c r="E146" s="39"/>
      <c r="F146" s="39"/>
      <c r="G146" s="43" t="s">
        <v>64</v>
      </c>
      <c r="H146" s="43"/>
      <c r="I146" s="43"/>
      <c r="J146" s="43"/>
      <c r="K146" s="43" t="s">
        <v>66</v>
      </c>
      <c r="L146" s="43"/>
      <c r="M146" s="43"/>
      <c r="N146" s="43"/>
      <c r="O146" s="4"/>
      <c r="P146" s="4"/>
    </row>
    <row r="147" spans="1:16" s="7" customFormat="1" ht="16.5" x14ac:dyDescent="0.25">
      <c r="A147" s="62">
        <v>10</v>
      </c>
      <c r="B147" s="62"/>
      <c r="C147" s="64">
        <v>10.000000011999999</v>
      </c>
      <c r="D147" s="64"/>
      <c r="E147" s="64"/>
      <c r="F147" s="64"/>
      <c r="G147" s="63">
        <f>(100000000-C147*10000000)/100000000</f>
        <v>-1.199999898672104E-9</v>
      </c>
      <c r="H147" s="63"/>
      <c r="I147" s="63"/>
      <c r="J147" s="63"/>
      <c r="K147" s="62" t="s">
        <v>94</v>
      </c>
      <c r="L147" s="62"/>
      <c r="M147" s="62"/>
      <c r="N147" s="62"/>
      <c r="O147" s="4"/>
      <c r="P147" s="4"/>
    </row>
    <row r="148" spans="1:16" s="7" customForma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s="7" customForma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s="7" customFormat="1" ht="13.5" x14ac:dyDescent="0.25">
      <c r="A150" s="4" t="s">
        <v>102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s="7" customForma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s="7" customFormat="1" ht="13.5" x14ac:dyDescent="0.25">
      <c r="A152" s="35" t="s">
        <v>103</v>
      </c>
      <c r="B152" s="35"/>
      <c r="C152" s="31"/>
      <c r="D152" s="32" t="s">
        <v>104</v>
      </c>
      <c r="E152" s="36" t="s">
        <v>105</v>
      </c>
      <c r="F152" s="37"/>
      <c r="G152" s="33" t="s">
        <v>106</v>
      </c>
      <c r="H152" s="35" t="s">
        <v>107</v>
      </c>
      <c r="I152" s="35"/>
      <c r="J152" s="38" t="s">
        <v>108</v>
      </c>
      <c r="K152" s="38"/>
      <c r="L152" s="4"/>
      <c r="M152" s="4"/>
      <c r="N152" s="4"/>
      <c r="O152" s="4"/>
      <c r="P152" s="4"/>
    </row>
  </sheetData>
  <mergeCells count="805">
    <mergeCell ref="R71:R73"/>
    <mergeCell ref="S71:S73"/>
    <mergeCell ref="T71:T73"/>
    <mergeCell ref="T50:T70"/>
    <mergeCell ref="T74:T94"/>
    <mergeCell ref="R99:S126"/>
    <mergeCell ref="R129:S142"/>
    <mergeCell ref="A71:A73"/>
    <mergeCell ref="B71:C73"/>
    <mergeCell ref="D71:E73"/>
    <mergeCell ref="F71:G73"/>
    <mergeCell ref="H71:I73"/>
    <mergeCell ref="J71:K73"/>
    <mergeCell ref="L71:M73"/>
    <mergeCell ref="N71:O73"/>
    <mergeCell ref="P71:Q73"/>
    <mergeCell ref="B52:C52"/>
    <mergeCell ref="B50:C50"/>
    <mergeCell ref="B51:C51"/>
    <mergeCell ref="D50:E50"/>
    <mergeCell ref="D52:E52"/>
    <mergeCell ref="D51:E51"/>
    <mergeCell ref="N69:O69"/>
    <mergeCell ref="P69:Q69"/>
    <mergeCell ref="N70:O70"/>
    <mergeCell ref="P70:Q70"/>
    <mergeCell ref="J64:K64"/>
    <mergeCell ref="J65:K65"/>
    <mergeCell ref="F66:G66"/>
    <mergeCell ref="F67:G67"/>
    <mergeCell ref="L67:M67"/>
    <mergeCell ref="F68:G68"/>
    <mergeCell ref="H68:I68"/>
    <mergeCell ref="J68:K68"/>
    <mergeCell ref="L68:M68"/>
    <mergeCell ref="N64:O64"/>
    <mergeCell ref="P64:Q64"/>
    <mergeCell ref="N65:O65"/>
    <mergeCell ref="P65:Q65"/>
    <mergeCell ref="N66:O66"/>
    <mergeCell ref="P66:Q66"/>
    <mergeCell ref="N67:O67"/>
    <mergeCell ref="P67:Q67"/>
    <mergeCell ref="N68:O68"/>
    <mergeCell ref="P68:Q68"/>
    <mergeCell ref="L66:M66"/>
    <mergeCell ref="F65:G65"/>
    <mergeCell ref="J66:K66"/>
    <mergeCell ref="A64:A70"/>
    <mergeCell ref="B67:C67"/>
    <mergeCell ref="B68:C68"/>
    <mergeCell ref="B65:C65"/>
    <mergeCell ref="B66:C66"/>
    <mergeCell ref="B64:C64"/>
    <mergeCell ref="D59:E59"/>
    <mergeCell ref="B62:C62"/>
    <mergeCell ref="B63:C63"/>
    <mergeCell ref="D64:E64"/>
    <mergeCell ref="D66:E66"/>
    <mergeCell ref="D68:E68"/>
    <mergeCell ref="D70:E70"/>
    <mergeCell ref="D61:E61"/>
    <mergeCell ref="D62:E62"/>
    <mergeCell ref="D63:E63"/>
    <mergeCell ref="D65:E65"/>
    <mergeCell ref="D69:E69"/>
    <mergeCell ref="B69:C69"/>
    <mergeCell ref="D55:E55"/>
    <mergeCell ref="F8:J8"/>
    <mergeCell ref="A5:E5"/>
    <mergeCell ref="A6:E6"/>
    <mergeCell ref="A7:E7"/>
    <mergeCell ref="A8:E8"/>
    <mergeCell ref="F6:J6"/>
    <mergeCell ref="F7:J7"/>
    <mergeCell ref="A15:H15"/>
    <mergeCell ref="A16:H16"/>
    <mergeCell ref="A17:H17"/>
    <mergeCell ref="I15:K15"/>
    <mergeCell ref="I16:K16"/>
    <mergeCell ref="I17:K17"/>
    <mergeCell ref="J37:K37"/>
    <mergeCell ref="A19:I19"/>
    <mergeCell ref="J33:K33"/>
    <mergeCell ref="A31:C33"/>
    <mergeCell ref="D31:E33"/>
    <mergeCell ref="F33:G33"/>
    <mergeCell ref="H33:I33"/>
    <mergeCell ref="A35:C35"/>
    <mergeCell ref="A36:C36"/>
    <mergeCell ref="A74:A80"/>
    <mergeCell ref="N74:O74"/>
    <mergeCell ref="P74:Q74"/>
    <mergeCell ref="N75:O75"/>
    <mergeCell ref="P75:Q75"/>
    <mergeCell ref="N76:O76"/>
    <mergeCell ref="P76:Q76"/>
    <mergeCell ref="N77:O77"/>
    <mergeCell ref="P77:Q77"/>
    <mergeCell ref="L78:M78"/>
    <mergeCell ref="N78:O78"/>
    <mergeCell ref="P78:Q78"/>
    <mergeCell ref="N79:O79"/>
    <mergeCell ref="P79:Q79"/>
    <mergeCell ref="N80:O80"/>
    <mergeCell ref="P80:Q80"/>
    <mergeCell ref="B76:C76"/>
    <mergeCell ref="B74:C74"/>
    <mergeCell ref="B75:C75"/>
    <mergeCell ref="D75:E75"/>
    <mergeCell ref="D77:E77"/>
    <mergeCell ref="J75:K75"/>
    <mergeCell ref="L75:M75"/>
    <mergeCell ref="D76:E76"/>
    <mergeCell ref="N61:O61"/>
    <mergeCell ref="P61:Q61"/>
    <mergeCell ref="N62:O62"/>
    <mergeCell ref="P62:Q62"/>
    <mergeCell ref="N63:O63"/>
    <mergeCell ref="P63:Q63"/>
    <mergeCell ref="A57:A63"/>
    <mergeCell ref="N57:O57"/>
    <mergeCell ref="P57:Q57"/>
    <mergeCell ref="N58:O58"/>
    <mergeCell ref="P58:Q58"/>
    <mergeCell ref="N59:O59"/>
    <mergeCell ref="P59:Q59"/>
    <mergeCell ref="N60:O60"/>
    <mergeCell ref="P60:Q60"/>
    <mergeCell ref="L63:M63"/>
    <mergeCell ref="B58:C58"/>
    <mergeCell ref="D58:E58"/>
    <mergeCell ref="J60:K60"/>
    <mergeCell ref="J61:K61"/>
    <mergeCell ref="J62:K62"/>
    <mergeCell ref="J63:K63"/>
    <mergeCell ref="H58:I58"/>
    <mergeCell ref="H59:I59"/>
    <mergeCell ref="S47:S49"/>
    <mergeCell ref="T47:T49"/>
    <mergeCell ref="N50:O50"/>
    <mergeCell ref="N51:O51"/>
    <mergeCell ref="N52:O52"/>
    <mergeCell ref="N53:O53"/>
    <mergeCell ref="N54:O54"/>
    <mergeCell ref="N55:O55"/>
    <mergeCell ref="N56:O56"/>
    <mergeCell ref="P50:Q50"/>
    <mergeCell ref="P51:Q51"/>
    <mergeCell ref="P52:Q52"/>
    <mergeCell ref="P53:Q53"/>
    <mergeCell ref="P54:Q54"/>
    <mergeCell ref="P55:Q55"/>
    <mergeCell ref="P56:Q56"/>
    <mergeCell ref="N47:O49"/>
    <mergeCell ref="P47:Q49"/>
    <mergeCell ref="R47:R49"/>
    <mergeCell ref="F36:G36"/>
    <mergeCell ref="H36:I36"/>
    <mergeCell ref="J36:K36"/>
    <mergeCell ref="L36:M36"/>
    <mergeCell ref="A42:C42"/>
    <mergeCell ref="D42:E42"/>
    <mergeCell ref="F42:G42"/>
    <mergeCell ref="H42:I42"/>
    <mergeCell ref="A37:C37"/>
    <mergeCell ref="L41:M41"/>
    <mergeCell ref="L42:M42"/>
    <mergeCell ref="D37:E37"/>
    <mergeCell ref="F37:G37"/>
    <mergeCell ref="H37:I37"/>
    <mergeCell ref="A41:C41"/>
    <mergeCell ref="D41:E41"/>
    <mergeCell ref="F41:G41"/>
    <mergeCell ref="H41:I41"/>
    <mergeCell ref="J41:K41"/>
    <mergeCell ref="A38:C40"/>
    <mergeCell ref="D38:E40"/>
    <mergeCell ref="A1:T1"/>
    <mergeCell ref="L15:M15"/>
    <mergeCell ref="A95:O95"/>
    <mergeCell ref="A47:A49"/>
    <mergeCell ref="B47:C49"/>
    <mergeCell ref="D47:E49"/>
    <mergeCell ref="L16:M16"/>
    <mergeCell ref="L17:M17"/>
    <mergeCell ref="B79:C79"/>
    <mergeCell ref="B80:C80"/>
    <mergeCell ref="B77:C77"/>
    <mergeCell ref="B78:C78"/>
    <mergeCell ref="L13:M13"/>
    <mergeCell ref="L14:M14"/>
    <mergeCell ref="L12:M12"/>
    <mergeCell ref="A14:H14"/>
    <mergeCell ref="A13:H13"/>
    <mergeCell ref="A12:H12"/>
    <mergeCell ref="I12:K12"/>
    <mergeCell ref="I13:K13"/>
    <mergeCell ref="I14:K14"/>
    <mergeCell ref="B70:C70"/>
    <mergeCell ref="L33:M33"/>
    <mergeCell ref="D36:E36"/>
    <mergeCell ref="M116:N116"/>
    <mergeCell ref="B117:C117"/>
    <mergeCell ref="G117:H117"/>
    <mergeCell ref="I117:J117"/>
    <mergeCell ref="K117:L117"/>
    <mergeCell ref="M117:N117"/>
    <mergeCell ref="B116:C116"/>
    <mergeCell ref="G116:H116"/>
    <mergeCell ref="I116:J116"/>
    <mergeCell ref="K116:L116"/>
    <mergeCell ref="K118:L118"/>
    <mergeCell ref="M118:N118"/>
    <mergeCell ref="B119:C119"/>
    <mergeCell ref="G119:H119"/>
    <mergeCell ref="I119:J119"/>
    <mergeCell ref="K119:L119"/>
    <mergeCell ref="M119:N119"/>
    <mergeCell ref="B118:C118"/>
    <mergeCell ref="G118:H118"/>
    <mergeCell ref="I118:J118"/>
    <mergeCell ref="B121:C121"/>
    <mergeCell ref="G121:H121"/>
    <mergeCell ref="I121:J121"/>
    <mergeCell ref="K121:L121"/>
    <mergeCell ref="M121:N121"/>
    <mergeCell ref="B120:C120"/>
    <mergeCell ref="G120:H120"/>
    <mergeCell ref="I120:J120"/>
    <mergeCell ref="K120:L120"/>
    <mergeCell ref="M120:N120"/>
    <mergeCell ref="I124:J124"/>
    <mergeCell ref="K124:L124"/>
    <mergeCell ref="M124:N124"/>
    <mergeCell ref="B123:C123"/>
    <mergeCell ref="G123:H123"/>
    <mergeCell ref="I123:J123"/>
    <mergeCell ref="K123:L123"/>
    <mergeCell ref="M123:N123"/>
    <mergeCell ref="B122:C122"/>
    <mergeCell ref="G122:H122"/>
    <mergeCell ref="I122:J122"/>
    <mergeCell ref="K122:L122"/>
    <mergeCell ref="M122:N122"/>
    <mergeCell ref="D122:F122"/>
    <mergeCell ref="D123:F123"/>
    <mergeCell ref="D124:F124"/>
    <mergeCell ref="G146:J146"/>
    <mergeCell ref="K146:N146"/>
    <mergeCell ref="K147:N147"/>
    <mergeCell ref="G147:J147"/>
    <mergeCell ref="B126:C126"/>
    <mergeCell ref="G126:H126"/>
    <mergeCell ref="I126:J126"/>
    <mergeCell ref="K126:L126"/>
    <mergeCell ref="M126:N126"/>
    <mergeCell ref="A146:B146"/>
    <mergeCell ref="A147:B147"/>
    <mergeCell ref="A120:A126"/>
    <mergeCell ref="D120:F120"/>
    <mergeCell ref="C146:F146"/>
    <mergeCell ref="C147:F147"/>
    <mergeCell ref="D125:F125"/>
    <mergeCell ref="D121:F121"/>
    <mergeCell ref="B125:C125"/>
    <mergeCell ref="G125:H125"/>
    <mergeCell ref="I125:J125"/>
    <mergeCell ref="K125:L125"/>
    <mergeCell ref="M125:N125"/>
    <mergeCell ref="B124:C124"/>
    <mergeCell ref="G124:H124"/>
    <mergeCell ref="D35:E35"/>
    <mergeCell ref="F35:G35"/>
    <mergeCell ref="H35:I35"/>
    <mergeCell ref="J35:K35"/>
    <mergeCell ref="L35:M35"/>
    <mergeCell ref="A34:C34"/>
    <mergeCell ref="D34:E34"/>
    <mergeCell ref="F34:G34"/>
    <mergeCell ref="H34:I34"/>
    <mergeCell ref="J34:K34"/>
    <mergeCell ref="L34:M34"/>
    <mergeCell ref="F31:Q32"/>
    <mergeCell ref="A43:C43"/>
    <mergeCell ref="D43:E43"/>
    <mergeCell ref="F43:G43"/>
    <mergeCell ref="H43:I43"/>
    <mergeCell ref="J43:K43"/>
    <mergeCell ref="J42:K42"/>
    <mergeCell ref="L43:M43"/>
    <mergeCell ref="F50:G50"/>
    <mergeCell ref="H50:I50"/>
    <mergeCell ref="J50:K50"/>
    <mergeCell ref="L50:M50"/>
    <mergeCell ref="A50:A56"/>
    <mergeCell ref="F51:G51"/>
    <mergeCell ref="H51:I51"/>
    <mergeCell ref="J51:K51"/>
    <mergeCell ref="L51:M51"/>
    <mergeCell ref="F52:G52"/>
    <mergeCell ref="F56:G56"/>
    <mergeCell ref="H56:I56"/>
    <mergeCell ref="J56:K56"/>
    <mergeCell ref="L56:M56"/>
    <mergeCell ref="F54:G54"/>
    <mergeCell ref="H54:I54"/>
    <mergeCell ref="F47:G49"/>
    <mergeCell ref="H47:I49"/>
    <mergeCell ref="L47:M49"/>
    <mergeCell ref="L55:M55"/>
    <mergeCell ref="H52:I52"/>
    <mergeCell ref="J52:K52"/>
    <mergeCell ref="L52:M52"/>
    <mergeCell ref="F53:G53"/>
    <mergeCell ref="H53:I53"/>
    <mergeCell ref="J53:K53"/>
    <mergeCell ref="L53:M53"/>
    <mergeCell ref="J47:K49"/>
    <mergeCell ref="D53:E53"/>
    <mergeCell ref="D56:E56"/>
    <mergeCell ref="J58:K58"/>
    <mergeCell ref="L58:M58"/>
    <mergeCell ref="B59:C59"/>
    <mergeCell ref="J59:K59"/>
    <mergeCell ref="L59:M59"/>
    <mergeCell ref="L62:M62"/>
    <mergeCell ref="L61:M61"/>
    <mergeCell ref="B61:C61"/>
    <mergeCell ref="B55:C55"/>
    <mergeCell ref="B56:C56"/>
    <mergeCell ref="B53:C53"/>
    <mergeCell ref="B54:C54"/>
    <mergeCell ref="F60:G60"/>
    <mergeCell ref="F61:G61"/>
    <mergeCell ref="F62:G62"/>
    <mergeCell ref="B57:C57"/>
    <mergeCell ref="D57:E57"/>
    <mergeCell ref="L57:M57"/>
    <mergeCell ref="F58:G58"/>
    <mergeCell ref="F59:G59"/>
    <mergeCell ref="J54:K54"/>
    <mergeCell ref="D54:E54"/>
    <mergeCell ref="F63:G63"/>
    <mergeCell ref="F64:G64"/>
    <mergeCell ref="L54:M54"/>
    <mergeCell ref="F55:G55"/>
    <mergeCell ref="H55:I55"/>
    <mergeCell ref="J55:K55"/>
    <mergeCell ref="F75:G75"/>
    <mergeCell ref="F76:G76"/>
    <mergeCell ref="H76:I76"/>
    <mergeCell ref="J76:K76"/>
    <mergeCell ref="L76:M76"/>
    <mergeCell ref="F69:G69"/>
    <mergeCell ref="H69:I69"/>
    <mergeCell ref="J69:K69"/>
    <mergeCell ref="L69:M69"/>
    <mergeCell ref="F70:G70"/>
    <mergeCell ref="H70:I70"/>
    <mergeCell ref="J70:K70"/>
    <mergeCell ref="L70:M70"/>
    <mergeCell ref="H75:I75"/>
    <mergeCell ref="J67:K67"/>
    <mergeCell ref="F57:G57"/>
    <mergeCell ref="H57:I57"/>
    <mergeCell ref="J57:K57"/>
    <mergeCell ref="L80:M80"/>
    <mergeCell ref="F77:G77"/>
    <mergeCell ref="H77:I77"/>
    <mergeCell ref="J77:K77"/>
    <mergeCell ref="L77:M77"/>
    <mergeCell ref="D78:E78"/>
    <mergeCell ref="F78:G78"/>
    <mergeCell ref="H78:I78"/>
    <mergeCell ref="J78:K78"/>
    <mergeCell ref="D79:E79"/>
    <mergeCell ref="F79:G79"/>
    <mergeCell ref="H79:I79"/>
    <mergeCell ref="J79:K79"/>
    <mergeCell ref="L79:M79"/>
    <mergeCell ref="K114:L114"/>
    <mergeCell ref="M114:N114"/>
    <mergeCell ref="B112:C112"/>
    <mergeCell ref="G112:H112"/>
    <mergeCell ref="I112:J112"/>
    <mergeCell ref="K112:L112"/>
    <mergeCell ref="M112:N112"/>
    <mergeCell ref="B111:C111"/>
    <mergeCell ref="G111:H111"/>
    <mergeCell ref="I111:J111"/>
    <mergeCell ref="K111:L111"/>
    <mergeCell ref="B113:C113"/>
    <mergeCell ref="G113:H113"/>
    <mergeCell ref="O103:Q103"/>
    <mergeCell ref="O104:Q104"/>
    <mergeCell ref="O105:Q105"/>
    <mergeCell ref="B105:C105"/>
    <mergeCell ref="G105:H105"/>
    <mergeCell ref="I105:J105"/>
    <mergeCell ref="K105:L105"/>
    <mergeCell ref="M105:N105"/>
    <mergeCell ref="D101:F101"/>
    <mergeCell ref="D102:F102"/>
    <mergeCell ref="D103:F103"/>
    <mergeCell ref="D104:F104"/>
    <mergeCell ref="D105:F105"/>
    <mergeCell ref="B104:C104"/>
    <mergeCell ref="G104:H104"/>
    <mergeCell ref="M104:N104"/>
    <mergeCell ref="I104:J104"/>
    <mergeCell ref="K104:L104"/>
    <mergeCell ref="O106:Q106"/>
    <mergeCell ref="O107:Q107"/>
    <mergeCell ref="K107:L107"/>
    <mergeCell ref="M107:N107"/>
    <mergeCell ref="B106:C106"/>
    <mergeCell ref="G106:H106"/>
    <mergeCell ref="I106:J106"/>
    <mergeCell ref="K106:L106"/>
    <mergeCell ref="M106:N106"/>
    <mergeCell ref="B107:C107"/>
    <mergeCell ref="O108:Q108"/>
    <mergeCell ref="O109:Q109"/>
    <mergeCell ref="M110:N110"/>
    <mergeCell ref="B109:C109"/>
    <mergeCell ref="G109:H109"/>
    <mergeCell ref="I109:J109"/>
    <mergeCell ref="K109:L109"/>
    <mergeCell ref="M109:N109"/>
    <mergeCell ref="M113:N113"/>
    <mergeCell ref="O110:Q110"/>
    <mergeCell ref="B108:C108"/>
    <mergeCell ref="B110:C110"/>
    <mergeCell ref="D110:F110"/>
    <mergeCell ref="G110:H110"/>
    <mergeCell ref="I110:J110"/>
    <mergeCell ref="K110:L110"/>
    <mergeCell ref="D109:F109"/>
    <mergeCell ref="O97:Q98"/>
    <mergeCell ref="R97:S98"/>
    <mergeCell ref="O99:Q99"/>
    <mergeCell ref="O100:Q100"/>
    <mergeCell ref="O101:Q101"/>
    <mergeCell ref="G99:H99"/>
    <mergeCell ref="I99:J99"/>
    <mergeCell ref="K99:L99"/>
    <mergeCell ref="M99:N99"/>
    <mergeCell ref="G101:H101"/>
    <mergeCell ref="I101:J101"/>
    <mergeCell ref="K101:L101"/>
    <mergeCell ref="M101:N101"/>
    <mergeCell ref="I98:J98"/>
    <mergeCell ref="K98:L98"/>
    <mergeCell ref="G98:H98"/>
    <mergeCell ref="M98:N98"/>
    <mergeCell ref="G100:H100"/>
    <mergeCell ref="M100:N100"/>
    <mergeCell ref="O125:Q125"/>
    <mergeCell ref="O122:Q122"/>
    <mergeCell ref="O123:Q123"/>
    <mergeCell ref="O124:Q124"/>
    <mergeCell ref="O102:Q102"/>
    <mergeCell ref="D126:F126"/>
    <mergeCell ref="O126:Q126"/>
    <mergeCell ref="O111:Q111"/>
    <mergeCell ref="D112:F112"/>
    <mergeCell ref="O112:Q112"/>
    <mergeCell ref="D111:F111"/>
    <mergeCell ref="O120:Q120"/>
    <mergeCell ref="O121:Q121"/>
    <mergeCell ref="M111:N111"/>
    <mergeCell ref="D107:F107"/>
    <mergeCell ref="D108:F108"/>
    <mergeCell ref="G108:H108"/>
    <mergeCell ref="I108:J108"/>
    <mergeCell ref="K108:L108"/>
    <mergeCell ref="M108:N108"/>
    <mergeCell ref="G107:H107"/>
    <mergeCell ref="I107:J107"/>
    <mergeCell ref="I113:J113"/>
    <mergeCell ref="D106:F106"/>
    <mergeCell ref="A113:A119"/>
    <mergeCell ref="D113:F113"/>
    <mergeCell ref="O113:Q113"/>
    <mergeCell ref="D114:F114"/>
    <mergeCell ref="O114:Q114"/>
    <mergeCell ref="D115:F115"/>
    <mergeCell ref="O115:Q115"/>
    <mergeCell ref="D116:F116"/>
    <mergeCell ref="O116:Q116"/>
    <mergeCell ref="D117:F117"/>
    <mergeCell ref="O117:Q117"/>
    <mergeCell ref="D118:F118"/>
    <mergeCell ref="O118:Q118"/>
    <mergeCell ref="D119:F119"/>
    <mergeCell ref="O119:Q119"/>
    <mergeCell ref="K113:L113"/>
    <mergeCell ref="B115:C115"/>
    <mergeCell ref="G115:H115"/>
    <mergeCell ref="I115:J115"/>
    <mergeCell ref="K115:L115"/>
    <mergeCell ref="M115:N115"/>
    <mergeCell ref="B114:C114"/>
    <mergeCell ref="G114:H114"/>
    <mergeCell ref="I114:J114"/>
    <mergeCell ref="A97:A98"/>
    <mergeCell ref="B100:C100"/>
    <mergeCell ref="I100:J100"/>
    <mergeCell ref="K100:L100"/>
    <mergeCell ref="B97:C98"/>
    <mergeCell ref="D97:F98"/>
    <mergeCell ref="G97:N97"/>
    <mergeCell ref="B103:C103"/>
    <mergeCell ref="G103:H103"/>
    <mergeCell ref="A99:A105"/>
    <mergeCell ref="D99:F99"/>
    <mergeCell ref="D100:F100"/>
    <mergeCell ref="H66:I66"/>
    <mergeCell ref="L64:M64"/>
    <mergeCell ref="L65:M65"/>
    <mergeCell ref="H60:I60"/>
    <mergeCell ref="H61:I61"/>
    <mergeCell ref="H62:I62"/>
    <mergeCell ref="H63:I63"/>
    <mergeCell ref="H64:I64"/>
    <mergeCell ref="H65:I65"/>
    <mergeCell ref="H67:I67"/>
    <mergeCell ref="D67:E67"/>
    <mergeCell ref="B60:C60"/>
    <mergeCell ref="D60:E60"/>
    <mergeCell ref="L60:M60"/>
    <mergeCell ref="I103:J103"/>
    <mergeCell ref="K103:L103"/>
    <mergeCell ref="M103:N103"/>
    <mergeCell ref="B102:C102"/>
    <mergeCell ref="G102:H102"/>
    <mergeCell ref="I102:J102"/>
    <mergeCell ref="K102:L102"/>
    <mergeCell ref="M102:N102"/>
    <mergeCell ref="B101:C101"/>
    <mergeCell ref="B99:C99"/>
    <mergeCell ref="D74:E74"/>
    <mergeCell ref="F74:G74"/>
    <mergeCell ref="H74:I74"/>
    <mergeCell ref="J74:K74"/>
    <mergeCell ref="L74:M74"/>
    <mergeCell ref="D80:E80"/>
    <mergeCell ref="F80:G80"/>
    <mergeCell ref="H80:I80"/>
    <mergeCell ref="J80:K80"/>
    <mergeCell ref="N33:O33"/>
    <mergeCell ref="N34:O34"/>
    <mergeCell ref="N35:O35"/>
    <mergeCell ref="N36:O36"/>
    <mergeCell ref="N37:O37"/>
    <mergeCell ref="N41:O41"/>
    <mergeCell ref="N42:O42"/>
    <mergeCell ref="N43:O43"/>
    <mergeCell ref="P33:Q33"/>
    <mergeCell ref="P34:Q34"/>
    <mergeCell ref="P35:Q35"/>
    <mergeCell ref="P36:Q36"/>
    <mergeCell ref="P37:Q37"/>
    <mergeCell ref="P41:Q41"/>
    <mergeCell ref="P42:Q42"/>
    <mergeCell ref="P43:Q43"/>
    <mergeCell ref="F38:Q39"/>
    <mergeCell ref="F40:G40"/>
    <mergeCell ref="H40:I40"/>
    <mergeCell ref="J40:K40"/>
    <mergeCell ref="L40:M40"/>
    <mergeCell ref="N40:O40"/>
    <mergeCell ref="P40:Q40"/>
    <mergeCell ref="L37:M37"/>
    <mergeCell ref="A81:A87"/>
    <mergeCell ref="B81:C81"/>
    <mergeCell ref="D81:E81"/>
    <mergeCell ref="F81:G81"/>
    <mergeCell ref="H81:I81"/>
    <mergeCell ref="J81:K81"/>
    <mergeCell ref="L81:M81"/>
    <mergeCell ref="N81:O81"/>
    <mergeCell ref="P81:Q81"/>
    <mergeCell ref="P84:Q84"/>
    <mergeCell ref="B85:C85"/>
    <mergeCell ref="D85:E85"/>
    <mergeCell ref="F85:G85"/>
    <mergeCell ref="H85:I85"/>
    <mergeCell ref="J85:K85"/>
    <mergeCell ref="L85:M85"/>
    <mergeCell ref="N85:O85"/>
    <mergeCell ref="P85:Q85"/>
    <mergeCell ref="B86:C86"/>
    <mergeCell ref="D86:E86"/>
    <mergeCell ref="F86:G86"/>
    <mergeCell ref="H86:I86"/>
    <mergeCell ref="J86:K86"/>
    <mergeCell ref="L86:M86"/>
    <mergeCell ref="B82:C82"/>
    <mergeCell ref="D82:E82"/>
    <mergeCell ref="F82:G82"/>
    <mergeCell ref="H82:I82"/>
    <mergeCell ref="J82:K82"/>
    <mergeCell ref="L82:M82"/>
    <mergeCell ref="N82:O82"/>
    <mergeCell ref="P82:Q82"/>
    <mergeCell ref="B83:C83"/>
    <mergeCell ref="D83:E83"/>
    <mergeCell ref="F83:G83"/>
    <mergeCell ref="H83:I83"/>
    <mergeCell ref="J83:K83"/>
    <mergeCell ref="L83:M83"/>
    <mergeCell ref="N83:O83"/>
    <mergeCell ref="P83:Q83"/>
    <mergeCell ref="B84:C84"/>
    <mergeCell ref="D84:E84"/>
    <mergeCell ref="F84:G84"/>
    <mergeCell ref="H84:I84"/>
    <mergeCell ref="J84:K84"/>
    <mergeCell ref="L84:M84"/>
    <mergeCell ref="N84:O84"/>
    <mergeCell ref="N86:O86"/>
    <mergeCell ref="P86:Q86"/>
    <mergeCell ref="B87:C87"/>
    <mergeCell ref="D87:E87"/>
    <mergeCell ref="F87:G87"/>
    <mergeCell ref="H87:I87"/>
    <mergeCell ref="J87:K87"/>
    <mergeCell ref="L87:M87"/>
    <mergeCell ref="N87:O87"/>
    <mergeCell ref="P87:Q87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B91:C91"/>
    <mergeCell ref="D91:E91"/>
    <mergeCell ref="F91:G91"/>
    <mergeCell ref="H91:I91"/>
    <mergeCell ref="J91:K91"/>
    <mergeCell ref="L91:M91"/>
    <mergeCell ref="N91:O91"/>
    <mergeCell ref="P91:Q91"/>
    <mergeCell ref="B92:C92"/>
    <mergeCell ref="D92:E92"/>
    <mergeCell ref="F92:G92"/>
    <mergeCell ref="H92:I92"/>
    <mergeCell ref="J92:K92"/>
    <mergeCell ref="L92:M92"/>
    <mergeCell ref="N92:O92"/>
    <mergeCell ref="P92:Q92"/>
    <mergeCell ref="B93:C93"/>
    <mergeCell ref="D93:E93"/>
    <mergeCell ref="F93:G93"/>
    <mergeCell ref="H93:I93"/>
    <mergeCell ref="J93:K93"/>
    <mergeCell ref="L93:M93"/>
    <mergeCell ref="N93:O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A106:A112"/>
    <mergeCell ref="A88:A94"/>
    <mergeCell ref="B88:C88"/>
    <mergeCell ref="D88:E88"/>
    <mergeCell ref="F88:G88"/>
    <mergeCell ref="H88:I88"/>
    <mergeCell ref="J88:K88"/>
    <mergeCell ref="L88:M88"/>
    <mergeCell ref="N88:O88"/>
    <mergeCell ref="P88:Q88"/>
    <mergeCell ref="B89:C89"/>
    <mergeCell ref="D89:E89"/>
    <mergeCell ref="F89:G89"/>
    <mergeCell ref="H89:I89"/>
    <mergeCell ref="J89:K89"/>
    <mergeCell ref="L89:M89"/>
    <mergeCell ref="A127:A128"/>
    <mergeCell ref="B127:C128"/>
    <mergeCell ref="D127:F128"/>
    <mergeCell ref="G127:N127"/>
    <mergeCell ref="O127:Q128"/>
    <mergeCell ref="R127:S128"/>
    <mergeCell ref="G128:H128"/>
    <mergeCell ref="I128:J128"/>
    <mergeCell ref="K128:L128"/>
    <mergeCell ref="M128:N128"/>
    <mergeCell ref="A129:A135"/>
    <mergeCell ref="B129:C129"/>
    <mergeCell ref="D129:F129"/>
    <mergeCell ref="G129:H129"/>
    <mergeCell ref="I129:J129"/>
    <mergeCell ref="K129:L129"/>
    <mergeCell ref="M129:N129"/>
    <mergeCell ref="O129:Q129"/>
    <mergeCell ref="B130:C130"/>
    <mergeCell ref="D130:F130"/>
    <mergeCell ref="G130:H130"/>
    <mergeCell ref="I130:J130"/>
    <mergeCell ref="K130:L130"/>
    <mergeCell ref="M130:N130"/>
    <mergeCell ref="O130:Q130"/>
    <mergeCell ref="B131:C131"/>
    <mergeCell ref="D131:F131"/>
    <mergeCell ref="G131:H131"/>
    <mergeCell ref="I131:J131"/>
    <mergeCell ref="K131:L131"/>
    <mergeCell ref="M131:N131"/>
    <mergeCell ref="O131:Q131"/>
    <mergeCell ref="B132:C132"/>
    <mergeCell ref="D132:F132"/>
    <mergeCell ref="G132:H132"/>
    <mergeCell ref="I132:J132"/>
    <mergeCell ref="K132:L132"/>
    <mergeCell ref="M132:N132"/>
    <mergeCell ref="O132:Q132"/>
    <mergeCell ref="B133:C133"/>
    <mergeCell ref="D133:F133"/>
    <mergeCell ref="G133:H133"/>
    <mergeCell ref="I133:J133"/>
    <mergeCell ref="K133:L133"/>
    <mergeCell ref="M133:N133"/>
    <mergeCell ref="O133:Q133"/>
    <mergeCell ref="M138:N138"/>
    <mergeCell ref="O138:Q138"/>
    <mergeCell ref="B139:C139"/>
    <mergeCell ref="D139:F139"/>
    <mergeCell ref="B134:C134"/>
    <mergeCell ref="D134:F134"/>
    <mergeCell ref="G134:H134"/>
    <mergeCell ref="I134:J134"/>
    <mergeCell ref="K134:L134"/>
    <mergeCell ref="M134:N134"/>
    <mergeCell ref="O134:Q134"/>
    <mergeCell ref="B135:C135"/>
    <mergeCell ref="D135:F135"/>
    <mergeCell ref="G135:H135"/>
    <mergeCell ref="I135:J135"/>
    <mergeCell ref="K135:L135"/>
    <mergeCell ref="M135:N135"/>
    <mergeCell ref="O135:Q135"/>
    <mergeCell ref="M136:N136"/>
    <mergeCell ref="O136:Q136"/>
    <mergeCell ref="B137:C137"/>
    <mergeCell ref="D137:F137"/>
    <mergeCell ref="G137:H137"/>
    <mergeCell ref="I137:J137"/>
    <mergeCell ref="K137:L137"/>
    <mergeCell ref="M137:N137"/>
    <mergeCell ref="O137:Q137"/>
    <mergeCell ref="M139:N139"/>
    <mergeCell ref="O139:Q139"/>
    <mergeCell ref="B140:C140"/>
    <mergeCell ref="D140:F140"/>
    <mergeCell ref="G140:H140"/>
    <mergeCell ref="I140:J140"/>
    <mergeCell ref="K140:L140"/>
    <mergeCell ref="M140:N140"/>
    <mergeCell ref="O140:Q140"/>
    <mergeCell ref="M141:N141"/>
    <mergeCell ref="O141:Q141"/>
    <mergeCell ref="B142:C142"/>
    <mergeCell ref="D142:F142"/>
    <mergeCell ref="G142:H142"/>
    <mergeCell ref="I142:J142"/>
    <mergeCell ref="K142:L142"/>
    <mergeCell ref="M142:N142"/>
    <mergeCell ref="O142:Q142"/>
    <mergeCell ref="A3:I3"/>
    <mergeCell ref="A152:B152"/>
    <mergeCell ref="E152:F152"/>
    <mergeCell ref="H152:I152"/>
    <mergeCell ref="J152:K152"/>
    <mergeCell ref="B141:C141"/>
    <mergeCell ref="D141:F141"/>
    <mergeCell ref="G141:H141"/>
    <mergeCell ref="I141:J141"/>
    <mergeCell ref="K141:L141"/>
    <mergeCell ref="G139:H139"/>
    <mergeCell ref="I139:J139"/>
    <mergeCell ref="K139:L139"/>
    <mergeCell ref="A136:A142"/>
    <mergeCell ref="B136:C136"/>
    <mergeCell ref="D136:F136"/>
    <mergeCell ref="G136:H136"/>
    <mergeCell ref="I136:J136"/>
    <mergeCell ref="K136:L136"/>
    <mergeCell ref="B138:C138"/>
    <mergeCell ref="D138:F138"/>
    <mergeCell ref="G138:H138"/>
    <mergeCell ref="I138:J138"/>
    <mergeCell ref="K138:L138"/>
  </mergeCells>
  <pageMargins left="0.51181102362204722" right="0.31496062992125984" top="0.74803149606299213" bottom="0.74803149606299213" header="0.31496062992125984" footer="0.31496062992125984"/>
  <pageSetup paperSize="9" orientation="landscape" r:id="rId1"/>
  <headerFooter>
    <oddFooter>&amp;RСтраница &amp;P из &amp;N</oddFooter>
  </headerFooter>
  <rowBreaks count="2" manualBreakCount="2">
    <brk id="70" max="16383" man="1"/>
    <brk id="9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 О. Крючкова</dc:creator>
  <cp:lastModifiedBy>g1enden</cp:lastModifiedBy>
  <cp:lastPrinted>2022-05-26T09:46:42Z</cp:lastPrinted>
  <dcterms:created xsi:type="dcterms:W3CDTF">2021-02-25T10:21:45Z</dcterms:created>
  <dcterms:modified xsi:type="dcterms:W3CDTF">2026-04-24T12:24:40Z</dcterms:modified>
</cp:coreProperties>
</file>