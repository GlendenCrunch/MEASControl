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/>
  </bookViews>
  <sheets>
    <sheet name="Лист1" sheetId="3" r:id="rId1"/>
  </sheets>
  <calcPr calcId="152511"/>
</workbook>
</file>

<file path=xl/calcChain.xml><?xml version="1.0" encoding="utf-8"?>
<calcChain xmlns="http://schemas.openxmlformats.org/spreadsheetml/2006/main">
  <c r="I34" i="3" l="1"/>
  <c r="I35" i="3"/>
  <c r="I36" i="3"/>
  <c r="I37" i="3"/>
  <c r="I38" i="3"/>
  <c r="I39" i="3"/>
  <c r="I40" i="3"/>
  <c r="I33" i="3"/>
  <c r="A3" i="3" l="1"/>
  <c r="D201" i="3" l="1"/>
  <c r="F201" i="3" s="1"/>
  <c r="D202" i="3"/>
  <c r="F202" i="3" s="1"/>
  <c r="D203" i="3"/>
  <c r="D204" i="3"/>
  <c r="F204" i="3" s="1"/>
  <c r="D205" i="3"/>
  <c r="F205" i="3" s="1"/>
  <c r="D206" i="3"/>
  <c r="F206" i="3" s="1"/>
  <c r="D207" i="3"/>
  <c r="F207" i="3" s="1"/>
  <c r="D208" i="3"/>
  <c r="F208" i="3" s="1"/>
  <c r="D209" i="3"/>
  <c r="F209" i="3" s="1"/>
  <c r="D210" i="3"/>
  <c r="F210" i="3" s="1"/>
  <c r="D211" i="3"/>
  <c r="F211" i="3" s="1"/>
  <c r="D212" i="3"/>
  <c r="F212" i="3" s="1"/>
  <c r="D196" i="3"/>
  <c r="F196" i="3" s="1"/>
  <c r="D197" i="3"/>
  <c r="F197" i="3" s="1"/>
  <c r="D198" i="3"/>
  <c r="D199" i="3"/>
  <c r="F199" i="3" s="1"/>
  <c r="D200" i="3"/>
  <c r="F200" i="3" s="1"/>
  <c r="D195" i="3"/>
  <c r="F195" i="3" s="1"/>
  <c r="D194" i="3"/>
  <c r="F194" i="3" s="1"/>
  <c r="D193" i="3"/>
  <c r="F193" i="3" s="1"/>
  <c r="D192" i="3"/>
  <c r="F192" i="3" s="1"/>
  <c r="D191" i="3"/>
  <c r="F191" i="3" s="1"/>
  <c r="D190" i="3"/>
  <c r="F190" i="3" s="1"/>
  <c r="D189" i="3"/>
  <c r="F189" i="3" s="1"/>
  <c r="F198" i="3"/>
  <c r="D187" i="3"/>
  <c r="F187" i="3" s="1"/>
  <c r="D164" i="3"/>
  <c r="F164" i="3" s="1"/>
  <c r="D163" i="3"/>
  <c r="F163" i="3" s="1"/>
  <c r="D162" i="3"/>
  <c r="F162" i="3" s="1"/>
  <c r="D161" i="3"/>
  <c r="F161" i="3"/>
  <c r="I362" i="3"/>
  <c r="I361" i="3"/>
  <c r="I360" i="3"/>
  <c r="I359" i="3"/>
  <c r="I358" i="3"/>
  <c r="I357" i="3"/>
  <c r="I356" i="3"/>
  <c r="I355" i="3"/>
  <c r="G362" i="3"/>
  <c r="G361" i="3"/>
  <c r="G360" i="3"/>
  <c r="G359" i="3"/>
  <c r="G358" i="3"/>
  <c r="G357" i="3"/>
  <c r="G356" i="3"/>
  <c r="G355" i="3"/>
  <c r="H329" i="3"/>
  <c r="H328" i="3"/>
  <c r="H327" i="3"/>
  <c r="H326" i="3"/>
  <c r="H325" i="3"/>
  <c r="H324" i="3"/>
  <c r="H323" i="3"/>
  <c r="H322" i="3"/>
  <c r="H320" i="3"/>
  <c r="H319" i="3"/>
  <c r="H318" i="3"/>
  <c r="H321" i="3"/>
  <c r="H317" i="3"/>
  <c r="H315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F203" i="3"/>
  <c r="D188" i="3"/>
  <c r="F188" i="3"/>
  <c r="D186" i="3"/>
  <c r="F186" i="3"/>
  <c r="D185" i="3"/>
  <c r="F185" i="3" s="1"/>
  <c r="D184" i="3"/>
  <c r="F184" i="3"/>
  <c r="D183" i="3"/>
  <c r="F183" i="3" s="1"/>
  <c r="D182" i="3"/>
  <c r="F182" i="3"/>
  <c r="D181" i="3"/>
  <c r="F181" i="3" s="1"/>
  <c r="D180" i="3"/>
  <c r="F180" i="3" s="1"/>
  <c r="D179" i="3"/>
  <c r="F179" i="3" s="1"/>
  <c r="D178" i="3"/>
  <c r="F178" i="3" s="1"/>
  <c r="D177" i="3"/>
  <c r="F177" i="3" s="1"/>
  <c r="D176" i="3"/>
  <c r="F176" i="3" s="1"/>
  <c r="D175" i="3"/>
  <c r="F175" i="3" s="1"/>
  <c r="D174" i="3"/>
  <c r="F174" i="3" s="1"/>
  <c r="D173" i="3"/>
  <c r="F173" i="3" s="1"/>
  <c r="D172" i="3"/>
  <c r="F172" i="3"/>
  <c r="D171" i="3"/>
  <c r="F171" i="3" s="1"/>
  <c r="D170" i="3"/>
  <c r="F170" i="3"/>
  <c r="D169" i="3"/>
  <c r="F169" i="3" s="1"/>
  <c r="D168" i="3"/>
  <c r="F168" i="3" s="1"/>
  <c r="D167" i="3"/>
  <c r="F167" i="3" s="1"/>
  <c r="D166" i="3"/>
  <c r="F166" i="3" s="1"/>
  <c r="D160" i="3"/>
  <c r="F160" i="3" s="1"/>
</calcChain>
</file>

<file path=xl/sharedStrings.xml><?xml version="1.0" encoding="utf-8"?>
<sst xmlns="http://schemas.openxmlformats.org/spreadsheetml/2006/main" count="1138" uniqueCount="472">
  <si>
    <t>Параметр</t>
  </si>
  <si>
    <t>Действительные значения</t>
  </si>
  <si>
    <t>Температура окружающего воздуха, °С</t>
  </si>
  <si>
    <t>Относительная влажность, %</t>
  </si>
  <si>
    <t>Атмосферное давление, кПа</t>
  </si>
  <si>
    <t>№ канала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</si>
  <si>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</t>
    </r>
  </si>
  <si>
    <t>Условия проведения поверки:</t>
  </si>
  <si>
    <r>
      <t>Поверитель:___________ (</t>
    </r>
    <r>
      <rPr>
        <b/>
        <i/>
        <u/>
        <sz val="10"/>
        <rFont val="Times New Roman"/>
        <family val="1"/>
        <charset val="204"/>
      </rPr>
      <t>Крючкова М.О.</t>
    </r>
    <r>
      <rPr>
        <sz val="10"/>
        <rFont val="Times New Roman"/>
        <family val="1"/>
        <charset val="204"/>
      </rPr>
      <t>)</t>
    </r>
  </si>
  <si>
    <t>Номер канала</t>
  </si>
  <si>
    <t>Установленный коэффициент отклонения, мВ/дел.</t>
  </si>
  <si>
    <t xml:space="preserve">Наименование и тип СИ: </t>
  </si>
  <si>
    <t>Заводской номер:</t>
  </si>
  <si>
    <t xml:space="preserve">Год выпуска: </t>
  </si>
  <si>
    <t>Номер в реестре:</t>
  </si>
  <si>
    <t>Заказчик:</t>
  </si>
  <si>
    <t xml:space="preserve">Методика поверки: </t>
  </si>
  <si>
    <t xml:space="preserve">Вид поверки: </t>
  </si>
  <si>
    <t>периодическая</t>
  </si>
  <si>
    <t>82665-21</t>
  </si>
  <si>
    <t>ПР-12-2020МП</t>
  </si>
  <si>
    <t>Допустимые значения</t>
  </si>
  <si>
    <t>от 84 до 106</t>
  </si>
  <si>
    <r>
      <t xml:space="preserve">23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</t>
    </r>
  </si>
  <si>
    <t>до 80</t>
  </si>
  <si>
    <t>Напряжение питающей сети, В</t>
  </si>
  <si>
    <r>
      <t xml:space="preserve">220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22</t>
    </r>
  </si>
  <si>
    <t>Частота питающей сети, Гц</t>
  </si>
  <si>
    <r>
      <t xml:space="preserve">50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0,5</t>
    </r>
  </si>
  <si>
    <r>
      <t xml:space="preserve">1 Внешний осмотр (п. 7.1):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</si>
  <si>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2 Опробование (п. 7.2):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</si>
  <si>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3 Проверка идентификационных данных программного обеспечения </t>
    </r>
    <r>
      <rPr>
        <b/>
        <i/>
        <u/>
        <sz val="10"/>
        <rFont val="Times New Roman"/>
        <family val="1"/>
        <charset val="204"/>
      </rPr>
      <t>00.01.03.02.02</t>
    </r>
    <r>
      <rPr>
        <sz val="10"/>
        <rFont val="Times New Roman"/>
        <family val="1"/>
        <charset val="204"/>
      </rPr>
      <t xml:space="preserve"> не ниже 00.01.01.01.02 (п. 7.3)</t>
    </r>
  </si>
  <si>
    <t>4 Определение сопротивления входных каналов осциллографа (п. 7.4)</t>
  </si>
  <si>
    <t>Номинальное значение входного сопротивления, МОм</t>
  </si>
  <si>
    <t>Измеренное значение входного сопротивления, Ом</t>
  </si>
  <si>
    <t>Допустимое отклонение от номинального значения сопротивления, кОм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</si>
  <si>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10</t>
    </r>
  </si>
  <si>
    <t>Отклонение от номинального значения сопротивления, кОм</t>
  </si>
  <si>
    <t>Установленный коэффициент отклонения</t>
  </si>
  <si>
    <t>Напряжение постоянного тока, установленное на калибраторе</t>
  </si>
  <si>
    <t>Измеренное значение напряжения постоянного тока осциллографом</t>
  </si>
  <si>
    <t>Допускаемые пределы измерения напряжения постоянного тока</t>
  </si>
  <si>
    <t>Нижний предел</t>
  </si>
  <si>
    <t>Верхний предел</t>
  </si>
  <si>
    <t>1 мВ/дел</t>
  </si>
  <si>
    <t>2 мВ/дел</t>
  </si>
  <si>
    <t>5 мВ/дел</t>
  </si>
  <si>
    <t>10 мВ/дел</t>
  </si>
  <si>
    <t>20 мВ/дел</t>
  </si>
  <si>
    <t>50 мВ/дел</t>
  </si>
  <si>
    <t>100 мВ/дел</t>
  </si>
  <si>
    <t>200 мВ/дел</t>
  </si>
  <si>
    <t>0,5 В/дел</t>
  </si>
  <si>
    <t>1 В/дел</t>
  </si>
  <si>
    <t>2 В/дел</t>
  </si>
  <si>
    <t>5 В/дел</t>
  </si>
  <si>
    <t>10 В/дел</t>
  </si>
  <si>
    <t>+ 3 мВ</t>
  </si>
  <si>
    <t>+ 6 мВ</t>
  </si>
  <si>
    <t>+ 15 мВ</t>
  </si>
  <si>
    <t>- 3 мВ</t>
  </si>
  <si>
    <t>- 6 мВ</t>
  </si>
  <si>
    <t>- 15 мВ</t>
  </si>
  <si>
    <t>+ 30 мВ</t>
  </si>
  <si>
    <t>- 30 мВ</t>
  </si>
  <si>
    <t>+ 60 мВ</t>
  </si>
  <si>
    <t>- 60 мВ</t>
  </si>
  <si>
    <t>+ 150 мВ</t>
  </si>
  <si>
    <t>- 150 мВ</t>
  </si>
  <si>
    <t>+ 300 мВ</t>
  </si>
  <si>
    <t>- 300 мВ</t>
  </si>
  <si>
    <t>+ 600 мВ</t>
  </si>
  <si>
    <t>- 600 мВ</t>
  </si>
  <si>
    <t>+ 1,5 В</t>
  </si>
  <si>
    <t>- 1,5 В</t>
  </si>
  <si>
    <t>+ 3 В</t>
  </si>
  <si>
    <t>- 3 В</t>
  </si>
  <si>
    <t>+ 6 В</t>
  </si>
  <si>
    <t>- 6 В</t>
  </si>
  <si>
    <t>+ 15 В</t>
  </si>
  <si>
    <t>- 15 В</t>
  </si>
  <si>
    <t>+ 30 В</t>
  </si>
  <si>
    <t>- 30 В</t>
  </si>
  <si>
    <t>+ 1,8 мВ</t>
  </si>
  <si>
    <t>- 4,2 мВ</t>
  </si>
  <si>
    <t>+ 4,2 мВ</t>
  </si>
  <si>
    <t>- 1,8 мВ</t>
  </si>
  <si>
    <t>+ 4,8 мВ</t>
  </si>
  <si>
    <t>- 7,2 мВ</t>
  </si>
  <si>
    <t>+ 13,8 мВ</t>
  </si>
  <si>
    <t>- 16,2 мВ</t>
  </si>
  <si>
    <t>+ 7,2 мВ</t>
  </si>
  <si>
    <t>- 4,8 мВ</t>
  </si>
  <si>
    <t>+ 16,2 мВ</t>
  </si>
  <si>
    <t>- 13,8 мВ</t>
  </si>
  <si>
    <t>+ 27 мВ</t>
  </si>
  <si>
    <t>- 33 мВ</t>
  </si>
  <si>
    <t>+ 33 мВ</t>
  </si>
  <si>
    <t>- 27 мВ</t>
  </si>
  <si>
    <t>+ 54 мВ</t>
  </si>
  <si>
    <t>- 66 мВ</t>
  </si>
  <si>
    <t>- 135 мВ</t>
  </si>
  <si>
    <t>+ 135 мВ</t>
  </si>
  <si>
    <t>- 165 мВ</t>
  </si>
  <si>
    <t>+ 270 мВ</t>
  </si>
  <si>
    <t>- 330 мВ</t>
  </si>
  <si>
    <t>+ 540 мВ</t>
  </si>
  <si>
    <t>- 660 мВ</t>
  </si>
  <si>
    <t>+ 66 мВ</t>
  </si>
  <si>
    <t>- 54 мВ</t>
  </si>
  <si>
    <t>+ 165 мВ</t>
  </si>
  <si>
    <t>+ 330 мВ</t>
  </si>
  <si>
    <t>- 270 мВ</t>
  </si>
  <si>
    <t>+ 660 мВ</t>
  </si>
  <si>
    <t>- 540 мВ</t>
  </si>
  <si>
    <t>+ 1,35 В</t>
  </si>
  <si>
    <t>- 1,65 В</t>
  </si>
  <si>
    <t>+ 1,65 В</t>
  </si>
  <si>
    <t>- 1,35 В</t>
  </si>
  <si>
    <t>+ 2,7 В</t>
  </si>
  <si>
    <t>- 3,3 В</t>
  </si>
  <si>
    <t>- 5,4 В</t>
  </si>
  <si>
    <t>+ 5,4 В</t>
  </si>
  <si>
    <t>- 6,6 В</t>
  </si>
  <si>
    <t>+ 13,5 В</t>
  </si>
  <si>
    <t>- 16,5 В</t>
  </si>
  <si>
    <t>+ 27 В</t>
  </si>
  <si>
    <t>- 33 В</t>
  </si>
  <si>
    <t>+ 3,3 В</t>
  </si>
  <si>
    <t>- 2,7 В</t>
  </si>
  <si>
    <t>+ 6,6 В</t>
  </si>
  <si>
    <t>+ 16,5 В</t>
  </si>
  <si>
    <t>- 13,5 В</t>
  </si>
  <si>
    <t>+ 33 В</t>
  </si>
  <si>
    <t>- 27 В</t>
  </si>
  <si>
    <t>5 Определение относительной погрешности коэффициентов отклонения и измерения напряжения постоянного тока
 (п. 7.5)</t>
  </si>
  <si>
    <t>5.1 Определение погрешности измерения напряжения постоянного тока</t>
  </si>
  <si>
    <t>5.2 Определение относительной погрешности коэффициентов отклонения</t>
  </si>
  <si>
    <t>Измеренное значение коэффициентов отклонения</t>
  </si>
  <si>
    <t>Относительная погрешность установки коэффициентов отклонения</t>
  </si>
  <si>
    <t>Допускаемые пределы относительной погрешности установки Ко, %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</si>
  <si>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12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</si>
  <si>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6</t>
    </r>
  </si>
  <si>
    <t>6 Определение абсолютной погрешности установки постоянного смещения (п. 7.6)</t>
  </si>
  <si>
    <t>Напряжение постоянного смещения, установленное на осциллографе</t>
  </si>
  <si>
    <t>Измеренное значение напряжения постоянного смещения осциллографом</t>
  </si>
  <si>
    <t>Допускаемые пределы измерения напряжения постоянного тока со смещением, В</t>
  </si>
  <si>
    <t>+ 1 В</t>
  </si>
  <si>
    <t>- 1 В</t>
  </si>
  <si>
    <t>+ 10 В</t>
  </si>
  <si>
    <t>- 10 В</t>
  </si>
  <si>
    <t>+ 40 В</t>
  </si>
  <si>
    <t>- 40 В</t>
  </si>
  <si>
    <t>+ 50 В</t>
  </si>
  <si>
    <t>- 50 В</t>
  </si>
  <si>
    <t>+ 100 В</t>
  </si>
  <si>
    <t>- 100 В</t>
  </si>
  <si>
    <t>- 1,018</t>
  </si>
  <si>
    <t>0,982</t>
  </si>
  <si>
    <t>- 10,162</t>
  </si>
  <si>
    <t>9,838</t>
  </si>
  <si>
    <t>- 30,472</t>
  </si>
  <si>
    <t>29,528</t>
  </si>
  <si>
    <t>- 40,452</t>
  </si>
  <si>
    <t>39,548</t>
  </si>
  <si>
    <t>- 50,602</t>
  </si>
  <si>
    <t>49,398</t>
  </si>
  <si>
    <t>- 102,002</t>
  </si>
  <si>
    <t>97,998</t>
  </si>
  <si>
    <t>- 0,982</t>
  </si>
  <si>
    <t>1,018</t>
  </si>
  <si>
    <t>- 9,0838</t>
  </si>
  <si>
    <t>10,162</t>
  </si>
  <si>
    <t>- 29,528</t>
  </si>
  <si>
    <t>30,472</t>
  </si>
  <si>
    <t>- 39,548</t>
  </si>
  <si>
    <t>40,452</t>
  </si>
  <si>
    <t>- 49,398</t>
  </si>
  <si>
    <t>50,602</t>
  </si>
  <si>
    <t>- 97,998</t>
  </si>
  <si>
    <t>102,002</t>
  </si>
  <si>
    <t>7 Проверка полосы пропускания (п. 7.7)</t>
  </si>
  <si>
    <t>Измеренное значение напряжения  осциллографом на частоте 50 кГц</t>
  </si>
  <si>
    <t>Измеренное значение напряжения  осциллографом на частоте 200 МГц</t>
  </si>
  <si>
    <t>Допускаемое значение напряжения на частоте 200 МГц, не менее</t>
  </si>
  <si>
    <t>8 Определение относительной погрешности частоты внутреннего опорного генератора (п. 7.8)</t>
  </si>
  <si>
    <t>Устновленная частота на генераторе, МГц</t>
  </si>
  <si>
    <t>Измеренная частота низкочастотного сигнала в стобоскопическом эффекте, Гц</t>
  </si>
  <si>
    <t>Допускаемая частота низкочастотного сигнала в стобоскопическом эффекте, Гц</t>
  </si>
  <si>
    <t>не более 200</t>
  </si>
  <si>
    <t>9 Определение характеристик встроенного генератора произвольной формы (п. 7.9)</t>
  </si>
  <si>
    <t>7.9.1 Определение относительной погрешности установки частоты сигнала (п. 7.9.1)</t>
  </si>
  <si>
    <t>Форма и уровень сигнала</t>
  </si>
  <si>
    <t>Установленная частота</t>
  </si>
  <si>
    <t>Измеренная частота, Гц, кГц, МГц</t>
  </si>
  <si>
    <t>Измеренная отностильная погрешность</t>
  </si>
  <si>
    <t>Допускаемая отностильная погрешность</t>
  </si>
  <si>
    <t>Прямоуг., 2 Врр</t>
  </si>
  <si>
    <t>0,1 Гц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</si>
  <si>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</t>
    </r>
    <r>
      <rPr>
        <sz val="10"/>
        <rFont val="Symbol"/>
        <family val="1"/>
        <charset val="2"/>
      </rPr>
      <t>×</t>
    </r>
    <r>
      <rPr>
        <sz val="10"/>
        <rFont val="Times New Roman"/>
        <family val="1"/>
        <charset val="204"/>
      </rPr>
      <t>10</t>
    </r>
    <r>
      <rPr>
        <vertAlign val="superscript"/>
        <sz val="10"/>
        <rFont val="Times New Roman"/>
        <family val="1"/>
        <charset val="204"/>
      </rPr>
      <t>-4</t>
    </r>
  </si>
  <si>
    <t>10 Гц</t>
  </si>
  <si>
    <t>100 Гц</t>
  </si>
  <si>
    <t>Синус, 2 Врр</t>
  </si>
  <si>
    <t>1 кГц</t>
  </si>
  <si>
    <t>10 МГц</t>
  </si>
  <si>
    <t>7.9.2 Определение абсолютной погрешности установки выходного напряжения на частоте 1 кГц (п. 7.9.2)</t>
  </si>
  <si>
    <t>Измеренное значение напряжения, В</t>
  </si>
  <si>
    <t>Канал 1</t>
  </si>
  <si>
    <t>Канал 2</t>
  </si>
  <si>
    <t>Установленное значение напряжения, В</t>
  </si>
  <si>
    <t>Допускаемые пределы установки выходного напряжения, В</t>
  </si>
  <si>
    <t>7.9.3 Определение абсолютной погрешности установки постоянного смещения (п. 7.9.3)</t>
  </si>
  <si>
    <t>Установленное значение постоянного смещения, В</t>
  </si>
  <si>
    <t>Измеренное значение постоянного смещения, В</t>
  </si>
  <si>
    <t>Допускаемые пределы установки постоянного смещения, В</t>
  </si>
  <si>
    <t>7.9.4 Определение неравномерности амплитудно-частотной характеристики (АЧХ) синусоидального сигнала (п. 7.9.4)</t>
  </si>
  <si>
    <t>Измеренное значение амплитуды, дБм</t>
  </si>
  <si>
    <t>Установленное значение частоты сигнала</t>
  </si>
  <si>
    <t>Измеренное значение неравномерности АЧХ, дБ</t>
  </si>
  <si>
    <t>Допускаемое значение неравномерности АЧХ, дБ (относительно частоты 1 кГц)</t>
  </si>
  <si>
    <t>10 кГц</t>
  </si>
  <si>
    <t>100 кГц</t>
  </si>
  <si>
    <t>1 МГц</t>
  </si>
  <si>
    <t>20 МГц</t>
  </si>
  <si>
    <t>25 Мгц</t>
  </si>
  <si>
    <t>Ропор</t>
  </si>
  <si>
    <t>-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</si>
  <si>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0,7</t>
    </r>
  </si>
  <si>
    <r>
      <t xml:space="preserve">Заключение: </t>
    </r>
    <r>
      <rPr>
        <b/>
        <i/>
        <u/>
        <sz val="10"/>
        <rFont val="Times New Roman"/>
        <family val="1"/>
        <charset val="204"/>
      </rPr>
      <t>соотвествует метрологическим требованиям</t>
    </r>
  </si>
  <si>
    <t>15 МГц</t>
  </si>
  <si>
    <r>
      <t xml:space="preserve">Эталоны: </t>
    </r>
    <r>
      <rPr>
        <b/>
        <i/>
        <u/>
        <sz val="10"/>
        <rFont val="Times New Roman"/>
        <family val="1"/>
        <charset val="204"/>
      </rPr>
      <t>Fluke 9500B/9530 № 276568182; NRP18T № 102224;  FCA 3120 № 418840; 34411A № MY53001583</t>
    </r>
  </si>
  <si>
    <t>Осциллограф цифровой</t>
  </si>
  <si>
    <t>_type</t>
  </si>
  <si>
    <t>_numb</t>
  </si>
  <si>
    <t>r1_1</t>
  </si>
  <si>
    <t>r1_2</t>
  </si>
  <si>
    <t>r2_1</t>
  </si>
  <si>
    <t>r2_2</t>
  </si>
  <si>
    <t>r3_1</t>
  </si>
  <si>
    <t>r3_2</t>
  </si>
  <si>
    <t>r4_1</t>
  </si>
  <si>
    <t>r4_2</t>
  </si>
  <si>
    <t>Дата:</t>
  </si>
  <si>
    <t>_date</t>
  </si>
  <si>
    <t>dcv1+_1</t>
  </si>
  <si>
    <t>dcv1-_1</t>
  </si>
  <si>
    <t>dcv1+_2</t>
  </si>
  <si>
    <t>dcv1-_2</t>
  </si>
  <si>
    <t>dcv1+_3</t>
  </si>
  <si>
    <t>dcv1-_3</t>
  </si>
  <si>
    <t>dcv1+_4</t>
  </si>
  <si>
    <t>dcv1-_4</t>
  </si>
  <si>
    <t>dcv1+_5</t>
  </si>
  <si>
    <t>dcv1-_5</t>
  </si>
  <si>
    <t>dcv1+_6</t>
  </si>
  <si>
    <t>dcv1-_6</t>
  </si>
  <si>
    <t>dcv1+_7</t>
  </si>
  <si>
    <t>dcv1-_7</t>
  </si>
  <si>
    <t>dcv1+_8</t>
  </si>
  <si>
    <t>dcv1-_8</t>
  </si>
  <si>
    <t>dcv1+_9</t>
  </si>
  <si>
    <t>dcv1-_9</t>
  </si>
  <si>
    <t>dcv1+_10</t>
  </si>
  <si>
    <t>dcv1-_10</t>
  </si>
  <si>
    <t>dcv1+_11</t>
  </si>
  <si>
    <t>dcv1-_11</t>
  </si>
  <si>
    <t>dcv1+_12</t>
  </si>
  <si>
    <t>dcv1-_12</t>
  </si>
  <si>
    <t>dcv1+_13</t>
  </si>
  <si>
    <t>dcv1-_13</t>
  </si>
  <si>
    <t>dcv2+_1</t>
  </si>
  <si>
    <t>dcv2-_1</t>
  </si>
  <si>
    <t>dcv2+_2</t>
  </si>
  <si>
    <t>dcv2-_2</t>
  </si>
  <si>
    <t>dcv2+_3</t>
  </si>
  <si>
    <t>dcv2-_3</t>
  </si>
  <si>
    <t>dcv2+_4</t>
  </si>
  <si>
    <t>dcv2-_4</t>
  </si>
  <si>
    <t>dcv2+_5</t>
  </si>
  <si>
    <t>dcv2-_5</t>
  </si>
  <si>
    <t>dcv2+_6</t>
  </si>
  <si>
    <t>dcv2-_6</t>
  </si>
  <si>
    <t>dcv2+_7</t>
  </si>
  <si>
    <t>dcv2-_7</t>
  </si>
  <si>
    <t>dcv2+_8</t>
  </si>
  <si>
    <t>dcv2-_8</t>
  </si>
  <si>
    <t>dcv2+_9</t>
  </si>
  <si>
    <t>dcv2-_9</t>
  </si>
  <si>
    <t>dcv2+_10</t>
  </si>
  <si>
    <t>dcv2-_10</t>
  </si>
  <si>
    <t>dcv2+_11</t>
  </si>
  <si>
    <t>dcv2-_11</t>
  </si>
  <si>
    <t>dcv2+_12</t>
  </si>
  <si>
    <t>dcv2-_12</t>
  </si>
  <si>
    <t>dcv2+_13</t>
  </si>
  <si>
    <t>dcv2-_13</t>
  </si>
  <si>
    <t>dcv3+_1</t>
  </si>
  <si>
    <t>dcv3-_1</t>
  </si>
  <si>
    <t>dcv3+_2</t>
  </si>
  <si>
    <t>dcv3-_2</t>
  </si>
  <si>
    <t>dcv3+_3</t>
  </si>
  <si>
    <t>dcv3-_3</t>
  </si>
  <si>
    <t>dcv3+_4</t>
  </si>
  <si>
    <t>dcv3-_4</t>
  </si>
  <si>
    <t>dcv3+_5</t>
  </si>
  <si>
    <t>dcv3-_5</t>
  </si>
  <si>
    <t>dcv3+_6</t>
  </si>
  <si>
    <t>dcv3-_6</t>
  </si>
  <si>
    <t>dcv3+_7</t>
  </si>
  <si>
    <t>dcv3-_7</t>
  </si>
  <si>
    <t>dcv3+_8</t>
  </si>
  <si>
    <t>dcv3-_8</t>
  </si>
  <si>
    <t>dcv3+_9</t>
  </si>
  <si>
    <t>dcv3-_9</t>
  </si>
  <si>
    <t>dcv3+_10</t>
  </si>
  <si>
    <t>dcv3-_10</t>
  </si>
  <si>
    <t>dcv3+_11</t>
  </si>
  <si>
    <t>dcv3-_11</t>
  </si>
  <si>
    <t>dcv3+_12</t>
  </si>
  <si>
    <t>dcv3-_12</t>
  </si>
  <si>
    <t>dcv3+_13</t>
  </si>
  <si>
    <t>dcv3-_13</t>
  </si>
  <si>
    <t>dcv4+_1</t>
  </si>
  <si>
    <t>dcv4-_1</t>
  </si>
  <si>
    <t>dcv4+_2</t>
  </si>
  <si>
    <t>dcv4-_2</t>
  </si>
  <si>
    <t>dcv4+_3</t>
  </si>
  <si>
    <t>dcv4-_3</t>
  </si>
  <si>
    <t>dcv4+_4</t>
  </si>
  <si>
    <t>dcv4-_4</t>
  </si>
  <si>
    <t>dcv4+_5</t>
  </si>
  <si>
    <t>dcv4-_5</t>
  </si>
  <si>
    <t>dcv4+_6</t>
  </si>
  <si>
    <t>dcv4-_6</t>
  </si>
  <si>
    <t>dcv4+_7</t>
  </si>
  <si>
    <t>dcv4-_7</t>
  </si>
  <si>
    <t>dcv4+_8</t>
  </si>
  <si>
    <t>dcv4-_8</t>
  </si>
  <si>
    <t>dcv4+_9</t>
  </si>
  <si>
    <t>dcv4-_9</t>
  </si>
  <si>
    <t>dcv4+_10</t>
  </si>
  <si>
    <t>dcv4-_10</t>
  </si>
  <si>
    <t>dcv4+_11</t>
  </si>
  <si>
    <t>dcv4-_11</t>
  </si>
  <si>
    <t>dcv4+_12</t>
  </si>
  <si>
    <t>dcv4-_12</t>
  </si>
  <si>
    <t>dcv4+_13</t>
  </si>
  <si>
    <t>dcv4-_13</t>
  </si>
  <si>
    <t>vofs1+_1</t>
  </si>
  <si>
    <t>vofs1-_1</t>
  </si>
  <si>
    <t>vofs1+_2</t>
  </si>
  <si>
    <t>vofs1-_2</t>
  </si>
  <si>
    <t>vofs1+_3</t>
  </si>
  <si>
    <t>vofs1-_3</t>
  </si>
  <si>
    <t>vofs1+_4</t>
  </si>
  <si>
    <t>vofs1-_4</t>
  </si>
  <si>
    <t>vofs1+_5</t>
  </si>
  <si>
    <t>vofs1-_5</t>
  </si>
  <si>
    <t>vofs1+_6</t>
  </si>
  <si>
    <t>vofs1-_6</t>
  </si>
  <si>
    <t>vofs2+_1</t>
  </si>
  <si>
    <t>vofs2-_1</t>
  </si>
  <si>
    <t>vofs2+_2</t>
  </si>
  <si>
    <t>vofs2-_2</t>
  </si>
  <si>
    <t>vofs2+_3</t>
  </si>
  <si>
    <t>vofs2-_3</t>
  </si>
  <si>
    <t>vofs2+_4</t>
  </si>
  <si>
    <t>vofs2-_4</t>
  </si>
  <si>
    <t>vofs2+_5</t>
  </si>
  <si>
    <t>vofs2-_5</t>
  </si>
  <si>
    <t>vofs2+_6</t>
  </si>
  <si>
    <t>vofs2-_6</t>
  </si>
  <si>
    <t>vofs3+_1</t>
  </si>
  <si>
    <t>vofs3-_1</t>
  </si>
  <si>
    <t>vofs3+_2</t>
  </si>
  <si>
    <t>vofs3-_2</t>
  </si>
  <si>
    <t>vofs3+_3</t>
  </si>
  <si>
    <t>vofs3-_3</t>
  </si>
  <si>
    <t>vofs3+_4</t>
  </si>
  <si>
    <t>vofs3-_4</t>
  </si>
  <si>
    <t>vofs3+_5</t>
  </si>
  <si>
    <t>vofs3-_5</t>
  </si>
  <si>
    <t>vofs3+_6</t>
  </si>
  <si>
    <t>vofs3-_6</t>
  </si>
  <si>
    <t>vofs4+_1</t>
  </si>
  <si>
    <t>vofs4-_1</t>
  </si>
  <si>
    <t>vofs4+_2</t>
  </si>
  <si>
    <t>vofs4-_2</t>
  </si>
  <si>
    <t>vofs4+_3</t>
  </si>
  <si>
    <t>vofs4-_3</t>
  </si>
  <si>
    <t>vofs4+_4</t>
  </si>
  <si>
    <t>vofs4-_4</t>
  </si>
  <si>
    <t>vofs4+_5</t>
  </si>
  <si>
    <t>vofs4-_5</t>
  </si>
  <si>
    <t>vofs4+_6</t>
  </si>
  <si>
    <t>vofs4-_6</t>
  </si>
  <si>
    <t>bw1_50_1</t>
  </si>
  <si>
    <t>bw1_200_1</t>
  </si>
  <si>
    <t>bw1_50_2</t>
  </si>
  <si>
    <t>bw1_200_2</t>
  </si>
  <si>
    <t>bw1_50_3</t>
  </si>
  <si>
    <t>bw1_200_3</t>
  </si>
  <si>
    <t>bw1_50_4</t>
  </si>
  <si>
    <t>bw1_200_4</t>
  </si>
  <si>
    <t>bw1_50_5</t>
  </si>
  <si>
    <t>bw1_200_5</t>
  </si>
  <si>
    <t>bw1_50_6</t>
  </si>
  <si>
    <t>bw1_200_6</t>
  </si>
  <si>
    <t>bw1_50_7</t>
  </si>
  <si>
    <t>bw1_200_7</t>
  </si>
  <si>
    <t>bw1_50_8</t>
  </si>
  <si>
    <t>bw1_200_8</t>
  </si>
  <si>
    <t>bw1_50_9</t>
  </si>
  <si>
    <t>bw1_200_9</t>
  </si>
  <si>
    <t>bw2_50_1</t>
  </si>
  <si>
    <t>bw2_200_1</t>
  </si>
  <si>
    <t>bw2_50_2</t>
  </si>
  <si>
    <t>bw2_200_2</t>
  </si>
  <si>
    <t>bw2_50_3</t>
  </si>
  <si>
    <t>bw2_200_3</t>
  </si>
  <si>
    <t>bw2_50_4</t>
  </si>
  <si>
    <t>bw2_200_4</t>
  </si>
  <si>
    <t>bw2_50_5</t>
  </si>
  <si>
    <t>bw2_200_5</t>
  </si>
  <si>
    <t>bw2_50_6</t>
  </si>
  <si>
    <t>bw2_200_6</t>
  </si>
  <si>
    <t>bw2_50_7</t>
  </si>
  <si>
    <t>bw2_200_7</t>
  </si>
  <si>
    <t>bw2_50_8</t>
  </si>
  <si>
    <t>bw2_200_8</t>
  </si>
  <si>
    <t>bw2_50_9</t>
  </si>
  <si>
    <t>bw2_200_9</t>
  </si>
  <si>
    <t>bw3_50_1</t>
  </si>
  <si>
    <t>bw3_200_1</t>
  </si>
  <si>
    <t>bw3_50_2</t>
  </si>
  <si>
    <t>bw3_200_2</t>
  </si>
  <si>
    <t>bw3_50_3</t>
  </si>
  <si>
    <t>bw3_200_3</t>
  </si>
  <si>
    <t>bw3_50_4</t>
  </si>
  <si>
    <t>bw3_200_4</t>
  </si>
  <si>
    <t>bw3_50_5</t>
  </si>
  <si>
    <t>bw3_200_5</t>
  </si>
  <si>
    <t>bw3_50_6</t>
  </si>
  <si>
    <t>bw3_200_6</t>
  </si>
  <si>
    <t>bw3_50_7</t>
  </si>
  <si>
    <t>bw3_200_7</t>
  </si>
  <si>
    <t>bw3_50_8</t>
  </si>
  <si>
    <t>bw3_200_8</t>
  </si>
  <si>
    <t>bw3_50_9</t>
  </si>
  <si>
    <t>bw3_200_9</t>
  </si>
  <si>
    <t>bw4_50_1</t>
  </si>
  <si>
    <t>bw4_200_1</t>
  </si>
  <si>
    <t>bw4_50_2</t>
  </si>
  <si>
    <t>bw4_200_2</t>
  </si>
  <si>
    <t>bw4_50_3</t>
  </si>
  <si>
    <t>bw4_200_3</t>
  </si>
  <si>
    <t>bw4_50_4</t>
  </si>
  <si>
    <t>bw4_200_4</t>
  </si>
  <si>
    <t>bw4_50_5</t>
  </si>
  <si>
    <t>bw4_200_5</t>
  </si>
  <si>
    <t>bw4_50_6</t>
  </si>
  <si>
    <t>bw4_200_6</t>
  </si>
  <si>
    <t>bw4_50_7</t>
  </si>
  <si>
    <t>bw4_200_7</t>
  </si>
  <si>
    <t>bw4_50_8</t>
  </si>
  <si>
    <t>bw4_200_8</t>
  </si>
  <si>
    <t>bw4_50_9</t>
  </si>
  <si>
    <t>bw4_200_9</t>
  </si>
  <si>
    <t>_temp</t>
  </si>
  <si>
    <t>_hum</t>
  </si>
  <si>
    <t>_pres</t>
  </si>
  <si>
    <t>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</si>
</sst>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0.000"/>
    <numFmt numFmtId="165" formatCode="0.0000"/>
    <numFmt numFmtId="166" formatCode="0.0"/>
    <numFmt numFmtId="167" formatCode="0.000000"/>
    <numFmt numFmtId="168" formatCode="0.00000"/>
    <numFmt numFmtId="169" formatCode="0.00000000"/>
    <numFmt numFmtId="170" formatCode="0.0000000"/>
  </numFmts>
  <fonts count="13">
    <font>
      <sz val="10"/>
      <name val="Arial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sz val="9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0"/>
      <name val="Arial"/>
      <family val="2"/>
      <charset val="204"/>
    </font>
    <font>
      <b/>
      <i/>
      <u/>
      <sz val="10"/>
      <name val="Times New Roman"/>
      <family val="1"/>
      <charset val="204"/>
    </font>
    <font>
      <sz val="10"/>
      <name val="Symbol"/>
      <family val="1"/>
      <charset val="2"/>
    </font>
    <font>
      <sz val="8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0"/>
      <name val="Times New Roman"/>
      <family val="1"/>
      <charset val="2"/>
    </font>
    <font>
      <sz val="10"/>
      <color theme="1"/>
      <name val="Times New Roman"/>
      <family val="1"/>
      <charset val="204"/>
    </font>
    <font>
      <b/>
      <i/>
      <sz val="10"/>
      <color rgb="FF0070C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/>
    <xf numFmtId="0" fontId="5" fillId="0" borderId="0" xfId="0" applyFont="1"/>
    <xf numFmtId="0" fontId="5" fillId="0" borderId="0" xfId="0" applyFont="1" applyProtection="1">
      <protection locked="0"/>
    </xf>
    <xf numFmtId="0" fontId="5" fillId="0" borderId="0" xfId="0" applyFont="1" applyAlignment="1" applyProtection="1">
      <protection locked="0"/>
    </xf>
    <xf numFmtId="0" fontId="1" fillId="0" borderId="0" xfId="0" applyFont="1" applyAlignment="1" applyProtection="1"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left"/>
      <protection locked="0"/>
    </xf>
    <xf numFmtId="0" fontId="5" fillId="0" borderId="0" xfId="0" applyFont="1" applyBorder="1" applyAlignment="1" applyProtection="1">
      <protection locked="0"/>
    </xf>
    <xf numFmtId="0" fontId="5" fillId="0" borderId="0" xfId="0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1" fillId="0" borderId="0" xfId="0" applyFont="1" applyBorder="1" applyAlignment="1" applyProtection="1">
      <alignment horizontal="left" vertical="justify" wrapText="1"/>
      <protection locked="0"/>
    </xf>
    <xf numFmtId="0" fontId="1" fillId="0" borderId="0" xfId="0" applyFont="1" applyProtection="1"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164" fontId="9" fillId="0" borderId="1" xfId="0" applyNumberFormat="1" applyFont="1" applyBorder="1" applyAlignment="1" applyProtection="1">
      <alignment horizontal="center" vertical="center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 wrapText="1"/>
      <protection locked="0"/>
    </xf>
    <xf numFmtId="0" fontId="1" fillId="0" borderId="0" xfId="0" applyFont="1" applyAlignment="1">
      <alignment vertical="center" wrapText="1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Protection="1">
      <protection locked="0"/>
    </xf>
    <xf numFmtId="0" fontId="2" fillId="0" borderId="0" xfId="0" applyFont="1"/>
    <xf numFmtId="0" fontId="1" fillId="0" borderId="0" xfId="0" applyFont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vertical="center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1" fillId="0" borderId="0" xfId="0" applyFont="1" applyBorder="1"/>
    <xf numFmtId="0" fontId="1" fillId="0" borderId="0" xfId="0" applyFont="1" applyBorder="1" applyProtection="1">
      <protection locked="0"/>
    </xf>
    <xf numFmtId="0" fontId="1" fillId="0" borderId="0" xfId="0" applyFont="1" applyBorder="1" applyAlignment="1">
      <alignment horizontal="center"/>
    </xf>
    <xf numFmtId="165" fontId="9" fillId="0" borderId="0" xfId="0" applyNumberFormat="1" applyFont="1" applyBorder="1" applyAlignment="1" applyProtection="1">
      <alignment vertical="center"/>
      <protection locked="0"/>
    </xf>
    <xf numFmtId="164" fontId="9" fillId="0" borderId="0" xfId="0" applyNumberFormat="1" applyFont="1" applyBorder="1" applyAlignment="1" applyProtection="1">
      <alignment vertical="center"/>
    </xf>
    <xf numFmtId="49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justify" wrapText="1"/>
      <protection locked="0"/>
    </xf>
    <xf numFmtId="164" fontId="1" fillId="0" borderId="1" xfId="0" applyNumberFormat="1" applyFont="1" applyBorder="1" applyAlignment="1" applyProtection="1">
      <alignment horizontal="center" vertical="center"/>
    </xf>
    <xf numFmtId="164" fontId="1" fillId="0" borderId="1" xfId="0" applyNumberFormat="1" applyFont="1" applyBorder="1" applyAlignment="1" applyProtection="1">
      <alignment horizontal="center" vertical="center" wrapText="1"/>
    </xf>
    <xf numFmtId="0" fontId="9" fillId="0" borderId="6" xfId="0" applyFont="1" applyBorder="1" applyAlignment="1" applyProtection="1">
      <alignment vertical="center"/>
      <protection locked="0"/>
    </xf>
    <xf numFmtId="0" fontId="9" fillId="0" borderId="13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165" fontId="9" fillId="0" borderId="6" xfId="0" applyNumberFormat="1" applyFont="1" applyBorder="1" applyAlignment="1" applyProtection="1">
      <alignment horizontal="center" vertical="center"/>
      <protection locked="0"/>
    </xf>
    <xf numFmtId="165" fontId="9" fillId="0" borderId="7" xfId="0" applyNumberFormat="1" applyFont="1" applyBorder="1" applyAlignment="1" applyProtection="1">
      <alignment horizontal="center" vertical="center"/>
      <protection locked="0"/>
    </xf>
    <xf numFmtId="164" fontId="9" fillId="0" borderId="1" xfId="0" applyNumberFormat="1" applyFont="1" applyBorder="1" applyAlignment="1" applyProtection="1">
      <alignment horizontal="center" vertical="center"/>
      <protection locked="0"/>
    </xf>
    <xf numFmtId="164" fontId="10" fillId="0" borderId="1" xfId="0" applyNumberFormat="1" applyFont="1" applyBorder="1" applyAlignment="1" applyProtection="1">
      <alignment horizontal="center" vertical="center"/>
    </xf>
    <xf numFmtId="164" fontId="1" fillId="0" borderId="1" xfId="0" applyNumberFormat="1" applyFont="1" applyBorder="1" applyAlignment="1" applyProtection="1">
      <alignment horizontal="center" vertical="center"/>
    </xf>
    <xf numFmtId="165" fontId="9" fillId="0" borderId="1" xfId="0" applyNumberFormat="1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 applyProtection="1">
      <alignment horizontal="center" vertical="center" wrapText="1"/>
      <protection locked="0"/>
    </xf>
    <xf numFmtId="164" fontId="1" fillId="0" borderId="1" xfId="0" applyNumberFormat="1" applyFont="1" applyBorder="1" applyAlignment="1" applyProtection="1">
      <alignment horizontal="center" vertical="center" wrapText="1"/>
    </xf>
    <xf numFmtId="11" fontId="9" fillId="0" borderId="1" xfId="0" applyNumberFormat="1" applyFont="1" applyBorder="1" applyAlignment="1" applyProtection="1">
      <alignment horizontal="center" vertical="center"/>
      <protection locked="0"/>
    </xf>
    <xf numFmtId="170" fontId="9" fillId="0" borderId="1" xfId="0" applyNumberFormat="1" applyFont="1" applyBorder="1" applyAlignment="1" applyProtection="1">
      <alignment horizontal="center" vertical="center"/>
      <protection locked="0"/>
    </xf>
    <xf numFmtId="164" fontId="1" fillId="0" borderId="1" xfId="0" applyNumberFormat="1" applyFont="1" applyBorder="1" applyAlignment="1" applyProtection="1">
      <alignment horizontal="center" vertical="center"/>
      <protection locked="0"/>
    </xf>
    <xf numFmtId="167" fontId="9" fillId="0" borderId="1" xfId="0" applyNumberFormat="1" applyFont="1" applyBorder="1" applyAlignment="1" applyProtection="1">
      <alignment horizontal="center" vertical="center"/>
      <protection locked="0"/>
    </xf>
    <xf numFmtId="168" fontId="9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169" fontId="9" fillId="0" borderId="1" xfId="0" applyNumberFormat="1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6" xfId="0" applyFont="1" applyBorder="1" applyAlignment="1" applyProtection="1">
      <alignment horizontal="left" vertical="center"/>
      <protection locked="0"/>
    </xf>
    <xf numFmtId="0" fontId="9" fillId="0" borderId="9" xfId="0" applyFont="1" applyBorder="1" applyAlignment="1" applyProtection="1">
      <alignment horizontal="left" vertical="center"/>
      <protection locked="0"/>
    </xf>
    <xf numFmtId="0" fontId="9" fillId="0" borderId="1" xfId="0" applyFont="1" applyBorder="1" applyAlignment="1" applyProtection="1">
      <alignment horizontal="left" vertical="center"/>
      <protection locked="0"/>
    </xf>
    <xf numFmtId="0" fontId="9" fillId="0" borderId="1" xfId="0" applyFont="1" applyBorder="1" applyAlignment="1" applyProtection="1">
      <alignment vertical="center"/>
      <protection locked="0"/>
    </xf>
    <xf numFmtId="0" fontId="1" fillId="0" borderId="0" xfId="0" applyFont="1" applyBorder="1" applyAlignment="1" applyProtection="1">
      <alignment horizontal="left" vertical="justify" wrapText="1"/>
      <protection locked="0"/>
    </xf>
    <xf numFmtId="0" fontId="1" fillId="0" borderId="0" xfId="0" applyFont="1" applyBorder="1" applyAlignment="1" applyProtection="1">
      <alignment horizontal="left" vertical="justify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center" vertical="center"/>
      <protection locked="0"/>
    </xf>
    <xf numFmtId="0" fontId="10" fillId="0" borderId="5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166" fontId="9" fillId="2" borderId="1" xfId="0" applyNumberFormat="1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9" fillId="0" borderId="13" xfId="0" applyFont="1" applyBorder="1" applyAlignment="1" applyProtection="1">
      <alignment horizontal="left" vertical="center"/>
      <protection locked="0"/>
    </xf>
    <xf numFmtId="0" fontId="12" fillId="0" borderId="14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4"/>
  <sheetViews>
    <sheetView tabSelected="1" view="pageLayout" zoomScale="115" zoomScaleNormal="100" zoomScalePageLayoutView="115" workbookViewId="0">
      <selection sqref="A1:L1"/>
    </sheetView>
  </sheetViews>
  <sheetFormatPr defaultRowHeight="12.75"/>
  <cols>
    <col min="1" max="1" width="6.5703125" customWidth="1"/>
    <col min="2" max="2" width="5.140625" customWidth="1"/>
    <col min="3" max="3" width="8.140625" customWidth="1"/>
    <col min="4" max="4" width="11.140625" customWidth="1"/>
    <col min="5" max="6" width="7.85546875" customWidth="1"/>
    <col min="7" max="7" width="9.7109375" customWidth="1"/>
    <col min="8" max="8" width="7" customWidth="1"/>
    <col min="9" max="9" width="10" customWidth="1"/>
    <col min="10" max="10" width="7" customWidth="1"/>
    <col min="11" max="11" width="5.7109375" customWidth="1"/>
    <col min="12" max="12" width="6.42578125" customWidth="1"/>
    <col min="13" max="13" width="7.42578125" customWidth="1"/>
    <col min="14" max="14" width="10.85546875" customWidth="1"/>
    <col min="15" max="15" width="14.5703125" customWidth="1"/>
    <col min="16" max="16" width="9.140625" customWidth="1"/>
    <col min="17" max="17" width="11.7109375" customWidth="1"/>
  </cols>
  <sheetData>
    <row r="1" spans="1:16" s="2" customFormat="1" ht="67.5" customHeigh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30"/>
      <c r="N1" s="30"/>
      <c r="O1" s="30"/>
      <c r="P1" s="3"/>
    </row>
    <row r="2" spans="1:16" s="2" customFormat="1" ht="6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s="2" customFormat="1" ht="12.75" customHeight="1">
      <c r="A3" s="106" t="str">
        <f>"Протокол поверки № 10/"&amp;H367&amp;"/"&amp;H5</f>
        <v>Протокол поверки № 10/_date/_type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5"/>
      <c r="N3" s="5"/>
      <c r="O3" s="5"/>
      <c r="P3" s="3"/>
    </row>
    <row r="4" spans="1:16" s="2" customFormat="1" ht="6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3"/>
    </row>
    <row r="5" spans="1:16" s="27" customFormat="1" ht="12.75" customHeight="1">
      <c r="A5" s="87" t="s">
        <v>11</v>
      </c>
      <c r="B5" s="87"/>
      <c r="C5" s="87"/>
      <c r="D5" s="88"/>
      <c r="E5" s="40" t="s">
        <v>231</v>
      </c>
      <c r="F5" s="41"/>
      <c r="G5" s="41"/>
      <c r="H5" s="107" t="s">
        <v>232</v>
      </c>
      <c r="I5" s="107"/>
      <c r="J5" s="42"/>
    </row>
    <row r="6" spans="1:16" s="27" customFormat="1" ht="12.75" customHeight="1">
      <c r="A6" s="87" t="s">
        <v>12</v>
      </c>
      <c r="B6" s="87"/>
      <c r="C6" s="87"/>
      <c r="D6" s="87"/>
      <c r="E6" s="89" t="s">
        <v>233</v>
      </c>
      <c r="F6" s="89"/>
      <c r="G6" s="89"/>
      <c r="H6" s="89"/>
      <c r="I6" s="89"/>
      <c r="J6" s="89"/>
    </row>
    <row r="7" spans="1:16" s="27" customFormat="1" ht="12.75" customHeight="1">
      <c r="A7" s="87" t="s">
        <v>13</v>
      </c>
      <c r="B7" s="87"/>
      <c r="C7" s="87"/>
      <c r="D7" s="87"/>
      <c r="E7" s="90">
        <v>2022</v>
      </c>
      <c r="F7" s="90"/>
      <c r="G7" s="90"/>
      <c r="H7" s="90"/>
      <c r="I7" s="90"/>
      <c r="J7" s="90"/>
    </row>
    <row r="8" spans="1:16" s="27" customFormat="1" ht="12.75" customHeight="1">
      <c r="A8" s="87" t="s">
        <v>14</v>
      </c>
      <c r="B8" s="87"/>
      <c r="C8" s="87"/>
      <c r="D8" s="87"/>
      <c r="E8" s="91" t="s">
        <v>19</v>
      </c>
      <c r="F8" s="91"/>
      <c r="G8" s="91"/>
      <c r="H8" s="91"/>
      <c r="I8" s="91"/>
      <c r="J8" s="91"/>
    </row>
    <row r="9" spans="1:16" s="27" customFormat="1" ht="12.75" customHeight="1">
      <c r="A9" s="87" t="s">
        <v>15</v>
      </c>
      <c r="B9" s="87"/>
      <c r="C9" s="87"/>
      <c r="D9" s="87"/>
      <c r="E9" s="91" t="s">
        <v>471</v>
      </c>
      <c r="F9" s="91"/>
      <c r="G9" s="91"/>
      <c r="H9" s="91"/>
      <c r="I9" s="91"/>
      <c r="J9" s="91"/>
    </row>
    <row r="10" spans="1:16" s="27" customFormat="1" ht="12.75" customHeight="1">
      <c r="A10" s="87" t="s">
        <v>16</v>
      </c>
      <c r="B10" s="87"/>
      <c r="C10" s="87"/>
      <c r="D10" s="87"/>
      <c r="E10" s="104" t="s">
        <v>20</v>
      </c>
      <c r="F10" s="104"/>
      <c r="G10" s="104"/>
      <c r="H10" s="104"/>
      <c r="I10" s="104"/>
      <c r="J10" s="104"/>
    </row>
    <row r="11" spans="1:16" s="27" customFormat="1" ht="12.75" customHeight="1">
      <c r="A11" s="87" t="s">
        <v>17</v>
      </c>
      <c r="B11" s="87"/>
      <c r="C11" s="87"/>
      <c r="D11" s="87"/>
      <c r="E11" s="91" t="s">
        <v>18</v>
      </c>
      <c r="F11" s="91"/>
      <c r="G11" s="91"/>
      <c r="H11" s="91"/>
      <c r="I11" s="91"/>
      <c r="J11" s="91"/>
    </row>
    <row r="12" spans="1:16" s="2" customFormat="1" ht="8.25" customHeight="1">
      <c r="A12" s="5"/>
      <c r="B12" s="5"/>
      <c r="C12" s="5"/>
      <c r="D12" s="5"/>
      <c r="E12" s="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s="2" customFormat="1">
      <c r="A13" s="5" t="s">
        <v>7</v>
      </c>
      <c r="B13" s="5"/>
      <c r="C13" s="5"/>
      <c r="D13" s="5"/>
      <c r="E13" s="5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s="2" customFormat="1" ht="6" customHeight="1">
      <c r="A14" s="5"/>
      <c r="B14" s="5"/>
      <c r="C14" s="5"/>
      <c r="D14" s="5"/>
      <c r="E14" s="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s="27" customFormat="1" ht="15" customHeight="1">
      <c r="A15" s="56" t="s">
        <v>0</v>
      </c>
      <c r="B15" s="56"/>
      <c r="C15" s="56"/>
      <c r="D15" s="56"/>
      <c r="E15" s="57" t="s">
        <v>1</v>
      </c>
      <c r="F15" s="57"/>
      <c r="G15" s="57"/>
      <c r="H15" s="57" t="s">
        <v>21</v>
      </c>
      <c r="I15" s="57"/>
      <c r="J15" s="57"/>
      <c r="K15" s="26"/>
      <c r="L15" s="26"/>
      <c r="M15" s="26"/>
      <c r="N15" s="26"/>
      <c r="O15" s="26"/>
      <c r="P15" s="26"/>
    </row>
    <row r="16" spans="1:16" s="27" customFormat="1" ht="13.9" customHeight="1">
      <c r="A16" s="87" t="s">
        <v>2</v>
      </c>
      <c r="B16" s="87"/>
      <c r="C16" s="87"/>
      <c r="D16" s="87"/>
      <c r="E16" s="101" t="s">
        <v>468</v>
      </c>
      <c r="F16" s="101"/>
      <c r="G16" s="101"/>
      <c r="H16" s="56" t="s">
        <v>23</v>
      </c>
      <c r="I16" s="56"/>
      <c r="J16" s="56"/>
      <c r="K16" s="26"/>
      <c r="L16" s="26"/>
      <c r="M16" s="26"/>
      <c r="N16" s="26"/>
      <c r="O16" s="26"/>
      <c r="P16" s="26"/>
    </row>
    <row r="17" spans="1:16" s="27" customFormat="1" ht="13.9" customHeight="1">
      <c r="A17" s="87" t="s">
        <v>3</v>
      </c>
      <c r="B17" s="87"/>
      <c r="C17" s="87"/>
      <c r="D17" s="87"/>
      <c r="E17" s="101" t="s">
        <v>469</v>
      </c>
      <c r="F17" s="101"/>
      <c r="G17" s="101"/>
      <c r="H17" s="56" t="s">
        <v>24</v>
      </c>
      <c r="I17" s="56"/>
      <c r="J17" s="56"/>
      <c r="K17" s="26"/>
      <c r="L17" s="26"/>
      <c r="M17" s="26"/>
      <c r="N17" s="26"/>
      <c r="O17" s="26"/>
      <c r="P17" s="26"/>
    </row>
    <row r="18" spans="1:16" s="27" customFormat="1" ht="13.9" customHeight="1">
      <c r="A18" s="87" t="s">
        <v>4</v>
      </c>
      <c r="B18" s="87"/>
      <c r="C18" s="87"/>
      <c r="D18" s="87"/>
      <c r="E18" s="102" t="s">
        <v>470</v>
      </c>
      <c r="F18" s="102"/>
      <c r="G18" s="102"/>
      <c r="H18" s="56" t="s">
        <v>22</v>
      </c>
      <c r="I18" s="56"/>
      <c r="J18" s="56"/>
      <c r="K18" s="26"/>
      <c r="L18" s="26"/>
      <c r="M18" s="26"/>
      <c r="N18" s="26"/>
      <c r="O18" s="26"/>
      <c r="P18" s="26"/>
    </row>
    <row r="19" spans="1:16" s="2" customFormat="1" ht="13.5" customHeight="1">
      <c r="A19" s="87" t="s">
        <v>25</v>
      </c>
      <c r="B19" s="87"/>
      <c r="C19" s="87"/>
      <c r="D19" s="87"/>
      <c r="E19" s="102">
        <v>220.1</v>
      </c>
      <c r="F19" s="102"/>
      <c r="G19" s="102"/>
      <c r="H19" s="56" t="s">
        <v>26</v>
      </c>
      <c r="I19" s="56"/>
      <c r="J19" s="56"/>
      <c r="K19" s="3"/>
      <c r="L19" s="3"/>
      <c r="M19" s="3"/>
      <c r="N19" s="3"/>
      <c r="O19" s="3"/>
      <c r="P19" s="3"/>
    </row>
    <row r="20" spans="1:16" s="2" customFormat="1" ht="13.5" customHeight="1">
      <c r="A20" s="87" t="s">
        <v>27</v>
      </c>
      <c r="B20" s="87"/>
      <c r="C20" s="87"/>
      <c r="D20" s="87"/>
      <c r="E20" s="102">
        <v>50</v>
      </c>
      <c r="F20" s="102"/>
      <c r="G20" s="102"/>
      <c r="H20" s="56" t="s">
        <v>28</v>
      </c>
      <c r="I20" s="56"/>
      <c r="J20" s="56"/>
      <c r="K20" s="3"/>
      <c r="L20" s="3"/>
      <c r="M20" s="3"/>
      <c r="N20" s="3"/>
      <c r="O20" s="3"/>
      <c r="P20" s="3"/>
    </row>
    <row r="21" spans="1:16" s="2" customFormat="1" ht="5.25" customHeight="1">
      <c r="A21" s="7"/>
      <c r="B21" s="7"/>
      <c r="C21" s="7"/>
      <c r="D21" s="8"/>
      <c r="E21" s="9"/>
      <c r="F21" s="10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s="2" customFormat="1" ht="15" customHeight="1">
      <c r="A22" s="100" t="s">
        <v>230</v>
      </c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9"/>
      <c r="N22" s="19"/>
      <c r="O22" s="19"/>
      <c r="P22" s="19"/>
    </row>
    <row r="23" spans="1:16" s="2" customFormat="1" ht="4.5" customHeight="1">
      <c r="A23" s="5"/>
      <c r="B23" s="5"/>
      <c r="C23" s="5"/>
      <c r="D23" s="5"/>
      <c r="E23" s="5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s="2" customFormat="1" ht="13.5">
      <c r="A24" s="5" t="s">
        <v>29</v>
      </c>
      <c r="B24" s="5"/>
      <c r="C24" s="5"/>
      <c r="D24" s="5"/>
      <c r="E24" s="5"/>
      <c r="F24" s="11"/>
      <c r="G24" s="12"/>
      <c r="H24" s="3"/>
      <c r="I24" s="3"/>
      <c r="J24" s="3"/>
      <c r="K24" s="3"/>
      <c r="L24" s="3"/>
      <c r="M24" s="3"/>
      <c r="N24" s="3"/>
      <c r="O24" s="3"/>
      <c r="P24" s="3"/>
    </row>
    <row r="25" spans="1:16" s="2" customFormat="1" ht="6" customHeight="1">
      <c r="A25" s="5"/>
      <c r="B25" s="5"/>
      <c r="C25" s="5"/>
      <c r="D25" s="5"/>
      <c r="E25" s="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s="2" customFormat="1" ht="13.5">
      <c r="A26" s="5" t="s">
        <v>30</v>
      </c>
      <c r="B26" s="5"/>
      <c r="C26" s="5"/>
      <c r="D26" s="5"/>
      <c r="E26" s="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s="2" customFormat="1" ht="5.25" customHeight="1">
      <c r="A27" s="5"/>
      <c r="B27" s="5"/>
      <c r="C27" s="5"/>
      <c r="D27" s="5"/>
      <c r="E27" s="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s="2" customFormat="1" ht="12.75" customHeight="1">
      <c r="A28" s="5" t="s">
        <v>31</v>
      </c>
      <c r="B28" s="5"/>
      <c r="C28" s="5"/>
      <c r="D28" s="5"/>
      <c r="E28" s="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s="2" customFormat="1" ht="4.5" customHeight="1">
      <c r="A29" s="5"/>
      <c r="B29" s="5"/>
      <c r="C29" s="5"/>
      <c r="D29" s="5"/>
      <c r="E29" s="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s="27" customFormat="1" ht="13.15" customHeight="1">
      <c r="A30" s="14" t="s">
        <v>32</v>
      </c>
      <c r="B30" s="14"/>
      <c r="C30" s="14"/>
      <c r="D30" s="14"/>
      <c r="E30" s="14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</row>
    <row r="31" spans="1:16" s="2" customFormat="1" ht="4.5" customHeight="1">
      <c r="A31" s="5"/>
      <c r="B31" s="5"/>
      <c r="C31" s="5"/>
      <c r="D31" s="5"/>
      <c r="E31" s="5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s="22" customFormat="1" ht="79.5" customHeight="1">
      <c r="A32" s="57" t="s">
        <v>9</v>
      </c>
      <c r="B32" s="57"/>
      <c r="C32" s="57" t="s">
        <v>10</v>
      </c>
      <c r="D32" s="57"/>
      <c r="E32" s="57" t="s">
        <v>33</v>
      </c>
      <c r="F32" s="57"/>
      <c r="G32" s="58" t="s">
        <v>34</v>
      </c>
      <c r="H32" s="58"/>
      <c r="I32" s="57" t="s">
        <v>37</v>
      </c>
      <c r="J32" s="57"/>
      <c r="K32" s="57" t="s">
        <v>35</v>
      </c>
      <c r="L32" s="57"/>
      <c r="M32" s="21"/>
      <c r="N32" s="21"/>
      <c r="O32" s="21"/>
      <c r="P32" s="21"/>
    </row>
    <row r="33" spans="1:16" s="24" customFormat="1" ht="12.75" customHeight="1">
      <c r="A33" s="50">
        <v>1</v>
      </c>
      <c r="B33" s="51"/>
      <c r="C33" s="56">
        <v>50</v>
      </c>
      <c r="D33" s="56"/>
      <c r="E33" s="56">
        <v>1</v>
      </c>
      <c r="F33" s="56"/>
      <c r="G33" s="77" t="s">
        <v>234</v>
      </c>
      <c r="H33" s="77"/>
      <c r="I33" s="78" t="e">
        <f>(G33-1)*1000</f>
        <v>#VALUE!</v>
      </c>
      <c r="J33" s="78"/>
      <c r="K33" s="103" t="s">
        <v>36</v>
      </c>
      <c r="L33" s="56"/>
      <c r="M33" s="23"/>
      <c r="N33" s="23"/>
      <c r="O33" s="23"/>
      <c r="P33" s="23"/>
    </row>
    <row r="34" spans="1:16" s="24" customFormat="1" ht="12.75" customHeight="1">
      <c r="A34" s="52"/>
      <c r="B34" s="53"/>
      <c r="C34" s="56">
        <v>200</v>
      </c>
      <c r="D34" s="56"/>
      <c r="E34" s="56"/>
      <c r="F34" s="56"/>
      <c r="G34" s="77" t="s">
        <v>235</v>
      </c>
      <c r="H34" s="77"/>
      <c r="I34" s="78" t="e">
        <f t="shared" ref="I34:I40" si="0">(G34-1)*1000</f>
        <v>#VALUE!</v>
      </c>
      <c r="J34" s="78"/>
      <c r="K34" s="56"/>
      <c r="L34" s="56"/>
      <c r="M34" s="23"/>
      <c r="N34" s="23"/>
      <c r="O34" s="23"/>
      <c r="P34" s="23"/>
    </row>
    <row r="35" spans="1:16" s="24" customFormat="1" ht="12.75" customHeight="1">
      <c r="A35" s="56">
        <v>2</v>
      </c>
      <c r="B35" s="56"/>
      <c r="C35" s="56">
        <v>50</v>
      </c>
      <c r="D35" s="56"/>
      <c r="E35" s="56">
        <v>1</v>
      </c>
      <c r="F35" s="56"/>
      <c r="G35" s="77" t="s">
        <v>236</v>
      </c>
      <c r="H35" s="77"/>
      <c r="I35" s="78" t="e">
        <f t="shared" si="0"/>
        <v>#VALUE!</v>
      </c>
      <c r="J35" s="78"/>
      <c r="K35" s="94" t="s">
        <v>36</v>
      </c>
      <c r="L35" s="95"/>
      <c r="M35" s="23"/>
      <c r="N35" s="23"/>
      <c r="O35" s="23"/>
      <c r="P35" s="23"/>
    </row>
    <row r="36" spans="1:16" s="24" customFormat="1" ht="12.75" customHeight="1">
      <c r="A36" s="56"/>
      <c r="B36" s="56"/>
      <c r="C36" s="56">
        <v>200</v>
      </c>
      <c r="D36" s="56"/>
      <c r="E36" s="56"/>
      <c r="F36" s="56"/>
      <c r="G36" s="77" t="s">
        <v>237</v>
      </c>
      <c r="H36" s="77"/>
      <c r="I36" s="78" t="e">
        <f t="shared" si="0"/>
        <v>#VALUE!</v>
      </c>
      <c r="J36" s="78"/>
      <c r="K36" s="96"/>
      <c r="L36" s="97"/>
      <c r="M36" s="23"/>
      <c r="N36" s="23"/>
      <c r="O36" s="23"/>
      <c r="P36" s="23"/>
    </row>
    <row r="37" spans="1:16" s="24" customFormat="1" ht="12.75" customHeight="1">
      <c r="A37" s="56">
        <v>3</v>
      </c>
      <c r="B37" s="56"/>
      <c r="C37" s="56">
        <v>50</v>
      </c>
      <c r="D37" s="56"/>
      <c r="E37" s="56">
        <v>1</v>
      </c>
      <c r="F37" s="56"/>
      <c r="G37" s="77" t="s">
        <v>238</v>
      </c>
      <c r="H37" s="77"/>
      <c r="I37" s="78" t="e">
        <f t="shared" si="0"/>
        <v>#VALUE!</v>
      </c>
      <c r="J37" s="78"/>
      <c r="K37" s="96"/>
      <c r="L37" s="97"/>
      <c r="M37" s="23"/>
      <c r="N37" s="23"/>
      <c r="O37" s="23"/>
      <c r="P37" s="23"/>
    </row>
    <row r="38" spans="1:16" s="24" customFormat="1" ht="12.75" customHeight="1">
      <c r="A38" s="56"/>
      <c r="B38" s="56"/>
      <c r="C38" s="56">
        <v>200</v>
      </c>
      <c r="D38" s="56"/>
      <c r="E38" s="56"/>
      <c r="F38" s="56"/>
      <c r="G38" s="77" t="s">
        <v>239</v>
      </c>
      <c r="H38" s="77"/>
      <c r="I38" s="78" t="e">
        <f t="shared" si="0"/>
        <v>#VALUE!</v>
      </c>
      <c r="J38" s="78"/>
      <c r="K38" s="96"/>
      <c r="L38" s="97"/>
      <c r="M38" s="23"/>
      <c r="N38" s="23"/>
      <c r="O38" s="23"/>
      <c r="P38" s="23"/>
    </row>
    <row r="39" spans="1:16" s="24" customFormat="1" ht="12.75" customHeight="1">
      <c r="A39" s="56">
        <v>4</v>
      </c>
      <c r="B39" s="56"/>
      <c r="C39" s="56">
        <v>50</v>
      </c>
      <c r="D39" s="56"/>
      <c r="E39" s="56">
        <v>1</v>
      </c>
      <c r="F39" s="56"/>
      <c r="G39" s="77" t="s">
        <v>240</v>
      </c>
      <c r="H39" s="77"/>
      <c r="I39" s="78" t="e">
        <f t="shared" si="0"/>
        <v>#VALUE!</v>
      </c>
      <c r="J39" s="78"/>
      <c r="K39" s="96"/>
      <c r="L39" s="97"/>
      <c r="M39" s="23"/>
      <c r="N39" s="23"/>
      <c r="O39" s="23"/>
      <c r="P39" s="23"/>
    </row>
    <row r="40" spans="1:16" s="24" customFormat="1" ht="12.75" customHeight="1">
      <c r="A40" s="56"/>
      <c r="B40" s="56"/>
      <c r="C40" s="56">
        <v>200</v>
      </c>
      <c r="D40" s="56"/>
      <c r="E40" s="56"/>
      <c r="F40" s="56"/>
      <c r="G40" s="77" t="s">
        <v>241</v>
      </c>
      <c r="H40" s="77"/>
      <c r="I40" s="78" t="e">
        <f t="shared" si="0"/>
        <v>#VALUE!</v>
      </c>
      <c r="J40" s="78"/>
      <c r="K40" s="98"/>
      <c r="L40" s="99"/>
      <c r="M40" s="23"/>
      <c r="N40" s="23"/>
      <c r="O40" s="23"/>
      <c r="P40" s="23"/>
    </row>
    <row r="41" spans="1:16" s="2" customFormat="1" ht="5.25" customHeight="1">
      <c r="A41" s="5"/>
      <c r="B41" s="5"/>
      <c r="C41" s="5"/>
      <c r="D41" s="5"/>
      <c r="E41" s="5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s="1" customFormat="1" ht="27" customHeight="1">
      <c r="A42" s="92" t="s">
        <v>135</v>
      </c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37"/>
      <c r="N42" s="37"/>
      <c r="O42" s="37"/>
      <c r="P42" s="14"/>
    </row>
    <row r="43" spans="1:16" s="1" customFormat="1" ht="6" customHeight="1">
      <c r="A43" s="13"/>
      <c r="B43" s="13"/>
      <c r="C43" s="13"/>
      <c r="D43" s="13"/>
      <c r="E43" s="13"/>
      <c r="F43" s="13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6" s="1" customFormat="1" ht="12.75" customHeight="1">
      <c r="A44" s="14" t="s">
        <v>136</v>
      </c>
      <c r="B44" s="13"/>
      <c r="C44" s="13"/>
      <c r="D44" s="13"/>
      <c r="E44" s="13"/>
      <c r="F44" s="13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6" s="1" customFormat="1" ht="6" customHeight="1">
      <c r="A45" s="13"/>
      <c r="B45" s="13"/>
      <c r="C45" s="13"/>
      <c r="D45" s="13"/>
      <c r="E45" s="13"/>
      <c r="F45" s="13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6" s="33" customFormat="1" ht="26.25" customHeight="1">
      <c r="A46" s="57" t="s">
        <v>5</v>
      </c>
      <c r="B46" s="58" t="s">
        <v>38</v>
      </c>
      <c r="C46" s="58"/>
      <c r="D46" s="57" t="s">
        <v>39</v>
      </c>
      <c r="E46" s="57"/>
      <c r="F46" s="57" t="s">
        <v>40</v>
      </c>
      <c r="G46" s="57"/>
      <c r="H46" s="57"/>
      <c r="I46" s="57" t="s">
        <v>41</v>
      </c>
      <c r="J46" s="57"/>
      <c r="K46" s="57"/>
      <c r="L46" s="57"/>
      <c r="M46" s="28"/>
    </row>
    <row r="47" spans="1:16" s="33" customFormat="1" ht="30.75" customHeight="1">
      <c r="A47" s="57"/>
      <c r="B47" s="58"/>
      <c r="C47" s="58"/>
      <c r="D47" s="57"/>
      <c r="E47" s="57"/>
      <c r="F47" s="57"/>
      <c r="G47" s="57"/>
      <c r="H47" s="57"/>
      <c r="I47" s="57" t="s">
        <v>42</v>
      </c>
      <c r="J47" s="57"/>
      <c r="K47" s="57" t="s">
        <v>43</v>
      </c>
      <c r="L47" s="57"/>
      <c r="M47" s="28"/>
    </row>
    <row r="48" spans="1:16" s="31" customFormat="1" ht="13.5">
      <c r="A48" s="76">
        <v>1</v>
      </c>
      <c r="B48" s="50" t="s">
        <v>44</v>
      </c>
      <c r="C48" s="51"/>
      <c r="D48" s="44" t="s">
        <v>57</v>
      </c>
      <c r="E48" s="44"/>
      <c r="F48" s="77" t="s">
        <v>244</v>
      </c>
      <c r="G48" s="77"/>
      <c r="H48" s="77"/>
      <c r="I48" s="49" t="s">
        <v>83</v>
      </c>
      <c r="J48" s="49"/>
      <c r="K48" s="44" t="s">
        <v>85</v>
      </c>
      <c r="L48" s="44"/>
      <c r="M48" s="29"/>
    </row>
    <row r="49" spans="1:13" s="31" customFormat="1" ht="13.5">
      <c r="A49" s="54"/>
      <c r="B49" s="52"/>
      <c r="C49" s="53"/>
      <c r="D49" s="44" t="s">
        <v>60</v>
      </c>
      <c r="E49" s="44"/>
      <c r="F49" s="77" t="s">
        <v>245</v>
      </c>
      <c r="G49" s="77"/>
      <c r="H49" s="77"/>
      <c r="I49" s="49" t="s">
        <v>84</v>
      </c>
      <c r="J49" s="49"/>
      <c r="K49" s="44" t="s">
        <v>86</v>
      </c>
      <c r="L49" s="44"/>
      <c r="M49" s="29"/>
    </row>
    <row r="50" spans="1:13" s="31" customFormat="1" ht="13.5">
      <c r="A50" s="54"/>
      <c r="B50" s="50" t="s">
        <v>45</v>
      </c>
      <c r="C50" s="51"/>
      <c r="D50" s="44" t="s">
        <v>58</v>
      </c>
      <c r="E50" s="44"/>
      <c r="F50" s="77" t="s">
        <v>246</v>
      </c>
      <c r="G50" s="77"/>
      <c r="H50" s="77"/>
      <c r="I50" s="49" t="s">
        <v>87</v>
      </c>
      <c r="J50" s="49"/>
      <c r="K50" s="44" t="s">
        <v>91</v>
      </c>
      <c r="L50" s="44"/>
      <c r="M50" s="29"/>
    </row>
    <row r="51" spans="1:13" s="31" customFormat="1" ht="13.5">
      <c r="A51" s="54"/>
      <c r="B51" s="52"/>
      <c r="C51" s="53"/>
      <c r="D51" s="44" t="s">
        <v>61</v>
      </c>
      <c r="E51" s="44"/>
      <c r="F51" s="77" t="s">
        <v>247</v>
      </c>
      <c r="G51" s="77"/>
      <c r="H51" s="77"/>
      <c r="I51" s="49" t="s">
        <v>88</v>
      </c>
      <c r="J51" s="49"/>
      <c r="K51" s="44" t="s">
        <v>92</v>
      </c>
      <c r="L51" s="44"/>
      <c r="M51" s="29"/>
    </row>
    <row r="52" spans="1:13" s="31" customFormat="1" ht="13.5">
      <c r="A52" s="54"/>
      <c r="B52" s="50" t="s">
        <v>46</v>
      </c>
      <c r="C52" s="51"/>
      <c r="D52" s="44" t="s">
        <v>59</v>
      </c>
      <c r="E52" s="44"/>
      <c r="F52" s="77" t="s">
        <v>248</v>
      </c>
      <c r="G52" s="77"/>
      <c r="H52" s="77"/>
      <c r="I52" s="49" t="s">
        <v>89</v>
      </c>
      <c r="J52" s="49"/>
      <c r="K52" s="44" t="s">
        <v>93</v>
      </c>
      <c r="L52" s="44"/>
      <c r="M52" s="29"/>
    </row>
    <row r="53" spans="1:13" s="31" customFormat="1" ht="13.5">
      <c r="A53" s="55"/>
      <c r="B53" s="52"/>
      <c r="C53" s="53"/>
      <c r="D53" s="44" t="s">
        <v>62</v>
      </c>
      <c r="E53" s="44"/>
      <c r="F53" s="77" t="s">
        <v>249</v>
      </c>
      <c r="G53" s="77"/>
      <c r="H53" s="77"/>
      <c r="I53" s="49" t="s">
        <v>90</v>
      </c>
      <c r="J53" s="49"/>
      <c r="K53" s="44" t="s">
        <v>94</v>
      </c>
      <c r="L53" s="44"/>
      <c r="M53" s="29"/>
    </row>
    <row r="54" spans="1:13" s="33" customFormat="1" ht="26.25" customHeight="1">
      <c r="A54" s="57" t="s">
        <v>5</v>
      </c>
      <c r="B54" s="58" t="s">
        <v>38</v>
      </c>
      <c r="C54" s="58"/>
      <c r="D54" s="57" t="s">
        <v>39</v>
      </c>
      <c r="E54" s="57"/>
      <c r="F54" s="57" t="s">
        <v>40</v>
      </c>
      <c r="G54" s="57"/>
      <c r="H54" s="57"/>
      <c r="I54" s="57" t="s">
        <v>41</v>
      </c>
      <c r="J54" s="57"/>
      <c r="K54" s="57"/>
      <c r="L54" s="57"/>
      <c r="M54" s="28"/>
    </row>
    <row r="55" spans="1:13" s="33" customFormat="1" ht="30.75" customHeight="1">
      <c r="A55" s="57"/>
      <c r="B55" s="58"/>
      <c r="C55" s="58"/>
      <c r="D55" s="57"/>
      <c r="E55" s="57"/>
      <c r="F55" s="57"/>
      <c r="G55" s="57"/>
      <c r="H55" s="57"/>
      <c r="I55" s="57" t="s">
        <v>42</v>
      </c>
      <c r="J55" s="57"/>
      <c r="K55" s="57" t="s">
        <v>43</v>
      </c>
      <c r="L55" s="57"/>
      <c r="M55" s="28"/>
    </row>
    <row r="56" spans="1:13" s="31" customFormat="1" ht="13.5">
      <c r="A56" s="54">
        <v>1</v>
      </c>
      <c r="B56" s="50" t="s">
        <v>47</v>
      </c>
      <c r="C56" s="51"/>
      <c r="D56" s="44" t="s">
        <v>63</v>
      </c>
      <c r="E56" s="44"/>
      <c r="F56" s="77" t="s">
        <v>250</v>
      </c>
      <c r="G56" s="77"/>
      <c r="H56" s="77"/>
      <c r="I56" s="49" t="s">
        <v>95</v>
      </c>
      <c r="J56" s="49"/>
      <c r="K56" s="44" t="s">
        <v>97</v>
      </c>
      <c r="L56" s="44"/>
      <c r="M56" s="29"/>
    </row>
    <row r="57" spans="1:13" s="31" customFormat="1" ht="13.5">
      <c r="A57" s="54"/>
      <c r="B57" s="52"/>
      <c r="C57" s="53"/>
      <c r="D57" s="44" t="s">
        <v>64</v>
      </c>
      <c r="E57" s="44"/>
      <c r="F57" s="77" t="s">
        <v>251</v>
      </c>
      <c r="G57" s="77"/>
      <c r="H57" s="77"/>
      <c r="I57" s="49" t="s">
        <v>96</v>
      </c>
      <c r="J57" s="49"/>
      <c r="K57" s="44" t="s">
        <v>98</v>
      </c>
      <c r="L57" s="44"/>
      <c r="M57" s="29"/>
    </row>
    <row r="58" spans="1:13" s="31" customFormat="1" ht="13.5">
      <c r="A58" s="54"/>
      <c r="B58" s="50" t="s">
        <v>48</v>
      </c>
      <c r="C58" s="51"/>
      <c r="D58" s="44" t="s">
        <v>65</v>
      </c>
      <c r="E58" s="44"/>
      <c r="F58" s="77" t="s">
        <v>252</v>
      </c>
      <c r="G58" s="77"/>
      <c r="H58" s="77"/>
      <c r="I58" s="49" t="s">
        <v>99</v>
      </c>
      <c r="J58" s="49"/>
      <c r="K58" s="44" t="s">
        <v>108</v>
      </c>
      <c r="L58" s="44"/>
      <c r="M58" s="29"/>
    </row>
    <row r="59" spans="1:13" s="31" customFormat="1" ht="13.5">
      <c r="A59" s="54"/>
      <c r="B59" s="52"/>
      <c r="C59" s="53"/>
      <c r="D59" s="44" t="s">
        <v>66</v>
      </c>
      <c r="E59" s="44"/>
      <c r="F59" s="77" t="s">
        <v>253</v>
      </c>
      <c r="G59" s="77"/>
      <c r="H59" s="77"/>
      <c r="I59" s="49" t="s">
        <v>100</v>
      </c>
      <c r="J59" s="49"/>
      <c r="K59" s="44" t="s">
        <v>109</v>
      </c>
      <c r="L59" s="44"/>
      <c r="M59" s="29"/>
    </row>
    <row r="60" spans="1:13" s="31" customFormat="1" ht="13.5">
      <c r="A60" s="54"/>
      <c r="B60" s="50" t="s">
        <v>49</v>
      </c>
      <c r="C60" s="51"/>
      <c r="D60" s="44" t="s">
        <v>67</v>
      </c>
      <c r="E60" s="44"/>
      <c r="F60" s="77" t="s">
        <v>254</v>
      </c>
      <c r="G60" s="77"/>
      <c r="H60" s="77"/>
      <c r="I60" s="49" t="s">
        <v>102</v>
      </c>
      <c r="J60" s="49"/>
      <c r="K60" s="44" t="s">
        <v>110</v>
      </c>
      <c r="L60" s="44"/>
      <c r="M60" s="29"/>
    </row>
    <row r="61" spans="1:13" s="31" customFormat="1" ht="13.5">
      <c r="A61" s="54"/>
      <c r="B61" s="52"/>
      <c r="C61" s="53"/>
      <c r="D61" s="44" t="s">
        <v>68</v>
      </c>
      <c r="E61" s="44"/>
      <c r="F61" s="77" t="s">
        <v>255</v>
      </c>
      <c r="G61" s="77"/>
      <c r="H61" s="77"/>
      <c r="I61" s="49" t="s">
        <v>103</v>
      </c>
      <c r="J61" s="49"/>
      <c r="K61" s="44" t="s">
        <v>101</v>
      </c>
      <c r="L61" s="44"/>
      <c r="M61" s="29"/>
    </row>
    <row r="62" spans="1:13" s="31" customFormat="1" ht="13.5">
      <c r="A62" s="54"/>
      <c r="B62" s="50" t="s">
        <v>50</v>
      </c>
      <c r="C62" s="51"/>
      <c r="D62" s="44" t="s">
        <v>69</v>
      </c>
      <c r="E62" s="44"/>
      <c r="F62" s="77" t="s">
        <v>256</v>
      </c>
      <c r="G62" s="77"/>
      <c r="H62" s="77"/>
      <c r="I62" s="49" t="s">
        <v>104</v>
      </c>
      <c r="J62" s="49"/>
      <c r="K62" s="44" t="s">
        <v>111</v>
      </c>
      <c r="L62" s="44"/>
      <c r="M62" s="29"/>
    </row>
    <row r="63" spans="1:13" s="31" customFormat="1" ht="13.5">
      <c r="A63" s="54"/>
      <c r="B63" s="52"/>
      <c r="C63" s="53"/>
      <c r="D63" s="44" t="s">
        <v>70</v>
      </c>
      <c r="E63" s="44"/>
      <c r="F63" s="77" t="s">
        <v>257</v>
      </c>
      <c r="G63" s="77"/>
      <c r="H63" s="77"/>
      <c r="I63" s="49" t="s">
        <v>105</v>
      </c>
      <c r="J63" s="49"/>
      <c r="K63" s="44" t="s">
        <v>112</v>
      </c>
      <c r="L63" s="44"/>
      <c r="M63" s="29"/>
    </row>
    <row r="64" spans="1:13" s="31" customFormat="1" ht="13.5">
      <c r="A64" s="54"/>
      <c r="B64" s="50" t="s">
        <v>51</v>
      </c>
      <c r="C64" s="51"/>
      <c r="D64" s="44" t="s">
        <v>71</v>
      </c>
      <c r="E64" s="44"/>
      <c r="F64" s="77" t="s">
        <v>258</v>
      </c>
      <c r="G64" s="77"/>
      <c r="H64" s="77"/>
      <c r="I64" s="49" t="s">
        <v>106</v>
      </c>
      <c r="J64" s="49"/>
      <c r="K64" s="44" t="s">
        <v>113</v>
      </c>
      <c r="L64" s="44"/>
      <c r="M64" s="29"/>
    </row>
    <row r="65" spans="1:12" s="31" customFormat="1" ht="13.5" customHeight="1">
      <c r="A65" s="54"/>
      <c r="B65" s="52"/>
      <c r="C65" s="53"/>
      <c r="D65" s="44" t="s">
        <v>72</v>
      </c>
      <c r="E65" s="44"/>
      <c r="F65" s="77" t="s">
        <v>259</v>
      </c>
      <c r="G65" s="77"/>
      <c r="H65" s="77"/>
      <c r="I65" s="49" t="s">
        <v>107</v>
      </c>
      <c r="J65" s="49"/>
      <c r="K65" s="44" t="s">
        <v>114</v>
      </c>
      <c r="L65" s="44"/>
    </row>
    <row r="66" spans="1:12" s="31" customFormat="1" ht="13.5">
      <c r="A66" s="54"/>
      <c r="B66" s="50" t="s">
        <v>52</v>
      </c>
      <c r="C66" s="51"/>
      <c r="D66" s="44" t="s">
        <v>73</v>
      </c>
      <c r="E66" s="44"/>
      <c r="F66" s="77" t="s">
        <v>260</v>
      </c>
      <c r="G66" s="77"/>
      <c r="H66" s="77"/>
      <c r="I66" s="49" t="s">
        <v>115</v>
      </c>
      <c r="J66" s="49"/>
      <c r="K66" s="44" t="s">
        <v>117</v>
      </c>
      <c r="L66" s="44"/>
    </row>
    <row r="67" spans="1:12" s="31" customFormat="1" ht="13.5">
      <c r="A67" s="54"/>
      <c r="B67" s="52"/>
      <c r="C67" s="53"/>
      <c r="D67" s="44" t="s">
        <v>74</v>
      </c>
      <c r="E67" s="44"/>
      <c r="F67" s="77" t="s">
        <v>261</v>
      </c>
      <c r="G67" s="77"/>
      <c r="H67" s="77"/>
      <c r="I67" s="49" t="s">
        <v>116</v>
      </c>
      <c r="J67" s="49"/>
      <c r="K67" s="44" t="s">
        <v>118</v>
      </c>
      <c r="L67" s="44"/>
    </row>
    <row r="68" spans="1:12" s="31" customFormat="1" ht="13.5">
      <c r="A68" s="54"/>
      <c r="B68" s="50" t="s">
        <v>53</v>
      </c>
      <c r="C68" s="51"/>
      <c r="D68" s="44" t="s">
        <v>75</v>
      </c>
      <c r="E68" s="44"/>
      <c r="F68" s="77" t="s">
        <v>262</v>
      </c>
      <c r="G68" s="77"/>
      <c r="H68" s="77"/>
      <c r="I68" s="49" t="s">
        <v>119</v>
      </c>
      <c r="J68" s="49"/>
      <c r="K68" s="44" t="s">
        <v>128</v>
      </c>
      <c r="L68" s="44"/>
    </row>
    <row r="69" spans="1:12" s="31" customFormat="1" ht="13.5">
      <c r="A69" s="54"/>
      <c r="B69" s="52"/>
      <c r="C69" s="53"/>
      <c r="D69" s="44" t="s">
        <v>76</v>
      </c>
      <c r="E69" s="44"/>
      <c r="F69" s="77" t="s">
        <v>263</v>
      </c>
      <c r="G69" s="77"/>
      <c r="H69" s="77"/>
      <c r="I69" s="49" t="s">
        <v>120</v>
      </c>
      <c r="J69" s="49"/>
      <c r="K69" s="44" t="s">
        <v>129</v>
      </c>
      <c r="L69" s="44"/>
    </row>
    <row r="70" spans="1:12" s="31" customFormat="1" ht="13.5">
      <c r="A70" s="54"/>
      <c r="B70" s="50" t="s">
        <v>54</v>
      </c>
      <c r="C70" s="51"/>
      <c r="D70" s="44" t="s">
        <v>77</v>
      </c>
      <c r="E70" s="44"/>
      <c r="F70" s="77" t="s">
        <v>264</v>
      </c>
      <c r="G70" s="77"/>
      <c r="H70" s="77"/>
      <c r="I70" s="49" t="s">
        <v>122</v>
      </c>
      <c r="J70" s="49"/>
      <c r="K70" s="44" t="s">
        <v>130</v>
      </c>
      <c r="L70" s="44"/>
    </row>
    <row r="71" spans="1:12" s="31" customFormat="1" ht="13.5">
      <c r="A71" s="54"/>
      <c r="B71" s="52"/>
      <c r="C71" s="53"/>
      <c r="D71" s="44" t="s">
        <v>78</v>
      </c>
      <c r="E71" s="44"/>
      <c r="F71" s="77" t="s">
        <v>265</v>
      </c>
      <c r="G71" s="77"/>
      <c r="H71" s="77"/>
      <c r="I71" s="49" t="s">
        <v>123</v>
      </c>
      <c r="J71" s="49"/>
      <c r="K71" s="44" t="s">
        <v>121</v>
      </c>
      <c r="L71" s="44"/>
    </row>
    <row r="72" spans="1:12" s="31" customFormat="1" ht="13.5">
      <c r="A72" s="54"/>
      <c r="B72" s="50" t="s">
        <v>55</v>
      </c>
      <c r="C72" s="51"/>
      <c r="D72" s="44" t="s">
        <v>79</v>
      </c>
      <c r="E72" s="44"/>
      <c r="F72" s="77" t="s">
        <v>266</v>
      </c>
      <c r="G72" s="77"/>
      <c r="H72" s="77"/>
      <c r="I72" s="49" t="s">
        <v>124</v>
      </c>
      <c r="J72" s="49"/>
      <c r="K72" s="44" t="s">
        <v>131</v>
      </c>
      <c r="L72" s="44"/>
    </row>
    <row r="73" spans="1:12" s="31" customFormat="1" ht="13.5">
      <c r="A73" s="54"/>
      <c r="B73" s="52"/>
      <c r="C73" s="53"/>
      <c r="D73" s="44" t="s">
        <v>80</v>
      </c>
      <c r="E73" s="44"/>
      <c r="F73" s="77" t="s">
        <v>267</v>
      </c>
      <c r="G73" s="77"/>
      <c r="H73" s="77"/>
      <c r="I73" s="49" t="s">
        <v>125</v>
      </c>
      <c r="J73" s="49"/>
      <c r="K73" s="44" t="s">
        <v>132</v>
      </c>
      <c r="L73" s="44"/>
    </row>
    <row r="74" spans="1:12" s="31" customFormat="1" ht="13.5">
      <c r="A74" s="54"/>
      <c r="B74" s="50" t="s">
        <v>56</v>
      </c>
      <c r="C74" s="51"/>
      <c r="D74" s="44" t="s">
        <v>81</v>
      </c>
      <c r="E74" s="44"/>
      <c r="F74" s="77" t="s">
        <v>268</v>
      </c>
      <c r="G74" s="77"/>
      <c r="H74" s="77"/>
      <c r="I74" s="49" t="s">
        <v>126</v>
      </c>
      <c r="J74" s="49"/>
      <c r="K74" s="44" t="s">
        <v>133</v>
      </c>
      <c r="L74" s="44"/>
    </row>
    <row r="75" spans="1:12" s="31" customFormat="1" ht="13.5">
      <c r="A75" s="55"/>
      <c r="B75" s="52"/>
      <c r="C75" s="53"/>
      <c r="D75" s="44" t="s">
        <v>82</v>
      </c>
      <c r="E75" s="44"/>
      <c r="F75" s="77" t="s">
        <v>269</v>
      </c>
      <c r="G75" s="77"/>
      <c r="H75" s="77"/>
      <c r="I75" s="49" t="s">
        <v>127</v>
      </c>
      <c r="J75" s="49"/>
      <c r="K75" s="44" t="s">
        <v>134</v>
      </c>
      <c r="L75" s="44"/>
    </row>
    <row r="76" spans="1:12" s="31" customFormat="1" ht="13.5">
      <c r="A76" s="54">
        <v>2</v>
      </c>
      <c r="B76" s="50" t="s">
        <v>44</v>
      </c>
      <c r="C76" s="51"/>
      <c r="D76" s="44" t="s">
        <v>57</v>
      </c>
      <c r="E76" s="44"/>
      <c r="F76" s="77" t="s">
        <v>270</v>
      </c>
      <c r="G76" s="77"/>
      <c r="H76" s="77"/>
      <c r="I76" s="49" t="s">
        <v>83</v>
      </c>
      <c r="J76" s="49"/>
      <c r="K76" s="44" t="s">
        <v>85</v>
      </c>
      <c r="L76" s="44"/>
    </row>
    <row r="77" spans="1:12" s="31" customFormat="1" ht="13.5">
      <c r="A77" s="54"/>
      <c r="B77" s="52"/>
      <c r="C77" s="53"/>
      <c r="D77" s="44" t="s">
        <v>60</v>
      </c>
      <c r="E77" s="44"/>
      <c r="F77" s="77" t="s">
        <v>271</v>
      </c>
      <c r="G77" s="77"/>
      <c r="H77" s="77"/>
      <c r="I77" s="49" t="s">
        <v>84</v>
      </c>
      <c r="J77" s="49"/>
      <c r="K77" s="44" t="s">
        <v>86</v>
      </c>
      <c r="L77" s="44"/>
    </row>
    <row r="78" spans="1:12" s="31" customFormat="1" ht="13.5">
      <c r="A78" s="54"/>
      <c r="B78" s="50" t="s">
        <v>45</v>
      </c>
      <c r="C78" s="51"/>
      <c r="D78" s="44" t="s">
        <v>58</v>
      </c>
      <c r="E78" s="44"/>
      <c r="F78" s="77" t="s">
        <v>272</v>
      </c>
      <c r="G78" s="77"/>
      <c r="H78" s="77"/>
      <c r="I78" s="49" t="s">
        <v>87</v>
      </c>
      <c r="J78" s="49"/>
      <c r="K78" s="44" t="s">
        <v>91</v>
      </c>
      <c r="L78" s="44"/>
    </row>
    <row r="79" spans="1:12" s="31" customFormat="1" ht="13.5">
      <c r="A79" s="54"/>
      <c r="B79" s="52"/>
      <c r="C79" s="53"/>
      <c r="D79" s="44" t="s">
        <v>61</v>
      </c>
      <c r="E79" s="44"/>
      <c r="F79" s="77" t="s">
        <v>273</v>
      </c>
      <c r="G79" s="77"/>
      <c r="H79" s="77"/>
      <c r="I79" s="49" t="s">
        <v>88</v>
      </c>
      <c r="J79" s="49"/>
      <c r="K79" s="44" t="s">
        <v>92</v>
      </c>
      <c r="L79" s="44"/>
    </row>
    <row r="80" spans="1:12" s="31" customFormat="1" ht="13.5">
      <c r="A80" s="54"/>
      <c r="B80" s="50" t="s">
        <v>46</v>
      </c>
      <c r="C80" s="51"/>
      <c r="D80" s="44" t="s">
        <v>59</v>
      </c>
      <c r="E80" s="44"/>
      <c r="F80" s="77" t="s">
        <v>274</v>
      </c>
      <c r="G80" s="77"/>
      <c r="H80" s="77"/>
      <c r="I80" s="49" t="s">
        <v>89</v>
      </c>
      <c r="J80" s="49"/>
      <c r="K80" s="44" t="s">
        <v>93</v>
      </c>
      <c r="L80" s="44"/>
    </row>
    <row r="81" spans="1:12" s="31" customFormat="1" ht="13.5">
      <c r="A81" s="54"/>
      <c r="B81" s="52"/>
      <c r="C81" s="53"/>
      <c r="D81" s="44" t="s">
        <v>62</v>
      </c>
      <c r="E81" s="44"/>
      <c r="F81" s="77" t="s">
        <v>275</v>
      </c>
      <c r="G81" s="77"/>
      <c r="H81" s="77"/>
      <c r="I81" s="49" t="s">
        <v>90</v>
      </c>
      <c r="J81" s="49"/>
      <c r="K81" s="44" t="s">
        <v>94</v>
      </c>
      <c r="L81" s="44"/>
    </row>
    <row r="82" spans="1:12" s="31" customFormat="1" ht="13.5">
      <c r="A82" s="54"/>
      <c r="B82" s="50" t="s">
        <v>47</v>
      </c>
      <c r="C82" s="51"/>
      <c r="D82" s="44" t="s">
        <v>63</v>
      </c>
      <c r="E82" s="44"/>
      <c r="F82" s="77" t="s">
        <v>276</v>
      </c>
      <c r="G82" s="77"/>
      <c r="H82" s="77"/>
      <c r="I82" s="49" t="s">
        <v>95</v>
      </c>
      <c r="J82" s="49"/>
      <c r="K82" s="44" t="s">
        <v>97</v>
      </c>
      <c r="L82" s="44"/>
    </row>
    <row r="83" spans="1:12" s="31" customFormat="1" ht="13.5">
      <c r="A83" s="54"/>
      <c r="B83" s="52"/>
      <c r="C83" s="53"/>
      <c r="D83" s="44" t="s">
        <v>64</v>
      </c>
      <c r="E83" s="44"/>
      <c r="F83" s="77" t="s">
        <v>277</v>
      </c>
      <c r="G83" s="77"/>
      <c r="H83" s="77"/>
      <c r="I83" s="49" t="s">
        <v>96</v>
      </c>
      <c r="J83" s="49"/>
      <c r="K83" s="44" t="s">
        <v>98</v>
      </c>
      <c r="L83" s="44"/>
    </row>
    <row r="84" spans="1:12" s="31" customFormat="1" ht="13.5">
      <c r="A84" s="54"/>
      <c r="B84" s="50" t="s">
        <v>48</v>
      </c>
      <c r="C84" s="51"/>
      <c r="D84" s="44" t="s">
        <v>65</v>
      </c>
      <c r="E84" s="44"/>
      <c r="F84" s="77" t="s">
        <v>278</v>
      </c>
      <c r="G84" s="77"/>
      <c r="H84" s="77"/>
      <c r="I84" s="49" t="s">
        <v>99</v>
      </c>
      <c r="J84" s="49"/>
      <c r="K84" s="44" t="s">
        <v>108</v>
      </c>
      <c r="L84" s="44"/>
    </row>
    <row r="85" spans="1:12" s="31" customFormat="1" ht="13.5">
      <c r="A85" s="54"/>
      <c r="B85" s="52"/>
      <c r="C85" s="53"/>
      <c r="D85" s="44" t="s">
        <v>66</v>
      </c>
      <c r="E85" s="44"/>
      <c r="F85" s="77" t="s">
        <v>279</v>
      </c>
      <c r="G85" s="77"/>
      <c r="H85" s="77"/>
      <c r="I85" s="49" t="s">
        <v>100</v>
      </c>
      <c r="J85" s="49"/>
      <c r="K85" s="44" t="s">
        <v>109</v>
      </c>
      <c r="L85" s="44"/>
    </row>
    <row r="86" spans="1:12" s="31" customFormat="1" ht="13.5">
      <c r="A86" s="54"/>
      <c r="B86" s="50" t="s">
        <v>49</v>
      </c>
      <c r="C86" s="51"/>
      <c r="D86" s="44" t="s">
        <v>67</v>
      </c>
      <c r="E86" s="44"/>
      <c r="F86" s="77" t="s">
        <v>280</v>
      </c>
      <c r="G86" s="77"/>
      <c r="H86" s="77"/>
      <c r="I86" s="49" t="s">
        <v>102</v>
      </c>
      <c r="J86" s="49"/>
      <c r="K86" s="44" t="s">
        <v>110</v>
      </c>
      <c r="L86" s="44"/>
    </row>
    <row r="87" spans="1:12" s="31" customFormat="1" ht="13.5">
      <c r="A87" s="54"/>
      <c r="B87" s="52"/>
      <c r="C87" s="53"/>
      <c r="D87" s="44" t="s">
        <v>68</v>
      </c>
      <c r="E87" s="44"/>
      <c r="F87" s="77" t="s">
        <v>281</v>
      </c>
      <c r="G87" s="77"/>
      <c r="H87" s="77"/>
      <c r="I87" s="49" t="s">
        <v>103</v>
      </c>
      <c r="J87" s="49"/>
      <c r="K87" s="44" t="s">
        <v>101</v>
      </c>
      <c r="L87" s="44"/>
    </row>
    <row r="88" spans="1:12" s="31" customFormat="1" ht="13.5">
      <c r="A88" s="54"/>
      <c r="B88" s="50" t="s">
        <v>50</v>
      </c>
      <c r="C88" s="51"/>
      <c r="D88" s="44" t="s">
        <v>69</v>
      </c>
      <c r="E88" s="44"/>
      <c r="F88" s="77" t="s">
        <v>282</v>
      </c>
      <c r="G88" s="77"/>
      <c r="H88" s="77"/>
      <c r="I88" s="49" t="s">
        <v>104</v>
      </c>
      <c r="J88" s="49"/>
      <c r="K88" s="44" t="s">
        <v>111</v>
      </c>
      <c r="L88" s="44"/>
    </row>
    <row r="89" spans="1:12" s="31" customFormat="1" ht="13.5">
      <c r="A89" s="54"/>
      <c r="B89" s="52"/>
      <c r="C89" s="53"/>
      <c r="D89" s="44" t="s">
        <v>70</v>
      </c>
      <c r="E89" s="44"/>
      <c r="F89" s="77" t="s">
        <v>283</v>
      </c>
      <c r="G89" s="77"/>
      <c r="H89" s="77"/>
      <c r="I89" s="49" t="s">
        <v>105</v>
      </c>
      <c r="J89" s="49"/>
      <c r="K89" s="44" t="s">
        <v>112</v>
      </c>
      <c r="L89" s="44"/>
    </row>
    <row r="90" spans="1:12" s="31" customFormat="1" ht="13.5">
      <c r="A90" s="54"/>
      <c r="B90" s="50" t="s">
        <v>51</v>
      </c>
      <c r="C90" s="51"/>
      <c r="D90" s="44" t="s">
        <v>71</v>
      </c>
      <c r="E90" s="44"/>
      <c r="F90" s="77" t="s">
        <v>284</v>
      </c>
      <c r="G90" s="77"/>
      <c r="H90" s="77"/>
      <c r="I90" s="49" t="s">
        <v>106</v>
      </c>
      <c r="J90" s="49"/>
      <c r="K90" s="44" t="s">
        <v>113</v>
      </c>
      <c r="L90" s="44"/>
    </row>
    <row r="91" spans="1:12" s="31" customFormat="1" ht="13.5">
      <c r="A91" s="54"/>
      <c r="B91" s="52"/>
      <c r="C91" s="53"/>
      <c r="D91" s="44" t="s">
        <v>72</v>
      </c>
      <c r="E91" s="44"/>
      <c r="F91" s="77" t="s">
        <v>285</v>
      </c>
      <c r="G91" s="77"/>
      <c r="H91" s="77"/>
      <c r="I91" s="49" t="s">
        <v>107</v>
      </c>
      <c r="J91" s="49"/>
      <c r="K91" s="44" t="s">
        <v>114</v>
      </c>
      <c r="L91" s="44"/>
    </row>
    <row r="92" spans="1:12" s="31" customFormat="1" ht="13.5">
      <c r="A92" s="54"/>
      <c r="B92" s="50" t="s">
        <v>52</v>
      </c>
      <c r="C92" s="51"/>
      <c r="D92" s="44" t="s">
        <v>73</v>
      </c>
      <c r="E92" s="44"/>
      <c r="F92" s="77" t="s">
        <v>286</v>
      </c>
      <c r="G92" s="77"/>
      <c r="H92" s="77"/>
      <c r="I92" s="49" t="s">
        <v>115</v>
      </c>
      <c r="J92" s="49"/>
      <c r="K92" s="44" t="s">
        <v>117</v>
      </c>
      <c r="L92" s="44"/>
    </row>
    <row r="93" spans="1:12" s="31" customFormat="1" ht="13.5">
      <c r="A93" s="54"/>
      <c r="B93" s="52"/>
      <c r="C93" s="53"/>
      <c r="D93" s="44" t="s">
        <v>74</v>
      </c>
      <c r="E93" s="44"/>
      <c r="F93" s="77" t="s">
        <v>287</v>
      </c>
      <c r="G93" s="77"/>
      <c r="H93" s="77"/>
      <c r="I93" s="49" t="s">
        <v>116</v>
      </c>
      <c r="J93" s="49"/>
      <c r="K93" s="44" t="s">
        <v>118</v>
      </c>
      <c r="L93" s="44"/>
    </row>
    <row r="94" spans="1:12" s="31" customFormat="1" ht="13.5">
      <c r="A94" s="54"/>
      <c r="B94" s="50" t="s">
        <v>53</v>
      </c>
      <c r="C94" s="51"/>
      <c r="D94" s="44" t="s">
        <v>75</v>
      </c>
      <c r="E94" s="44"/>
      <c r="F94" s="77" t="s">
        <v>288</v>
      </c>
      <c r="G94" s="77"/>
      <c r="H94" s="77"/>
      <c r="I94" s="49" t="s">
        <v>119</v>
      </c>
      <c r="J94" s="49"/>
      <c r="K94" s="44" t="s">
        <v>128</v>
      </c>
      <c r="L94" s="44"/>
    </row>
    <row r="95" spans="1:12" s="31" customFormat="1" ht="13.5">
      <c r="A95" s="54"/>
      <c r="B95" s="52"/>
      <c r="C95" s="53"/>
      <c r="D95" s="44" t="s">
        <v>76</v>
      </c>
      <c r="E95" s="44"/>
      <c r="F95" s="77" t="s">
        <v>289</v>
      </c>
      <c r="G95" s="77"/>
      <c r="H95" s="77"/>
      <c r="I95" s="49" t="s">
        <v>120</v>
      </c>
      <c r="J95" s="49"/>
      <c r="K95" s="44" t="s">
        <v>129</v>
      </c>
      <c r="L95" s="44"/>
    </row>
    <row r="96" spans="1:12" s="31" customFormat="1" ht="13.5">
      <c r="A96" s="54"/>
      <c r="B96" s="50" t="s">
        <v>54</v>
      </c>
      <c r="C96" s="51"/>
      <c r="D96" s="44" t="s">
        <v>77</v>
      </c>
      <c r="E96" s="44"/>
      <c r="F96" s="77" t="s">
        <v>290</v>
      </c>
      <c r="G96" s="77"/>
      <c r="H96" s="77"/>
      <c r="I96" s="49" t="s">
        <v>122</v>
      </c>
      <c r="J96" s="49"/>
      <c r="K96" s="44" t="s">
        <v>130</v>
      </c>
      <c r="L96" s="44"/>
    </row>
    <row r="97" spans="1:13" s="31" customFormat="1" ht="13.5">
      <c r="A97" s="54"/>
      <c r="B97" s="52"/>
      <c r="C97" s="53"/>
      <c r="D97" s="44" t="s">
        <v>78</v>
      </c>
      <c r="E97" s="44"/>
      <c r="F97" s="77" t="s">
        <v>291</v>
      </c>
      <c r="G97" s="77"/>
      <c r="H97" s="77"/>
      <c r="I97" s="49" t="s">
        <v>123</v>
      </c>
      <c r="J97" s="49"/>
      <c r="K97" s="44" t="s">
        <v>121</v>
      </c>
      <c r="L97" s="44"/>
    </row>
    <row r="98" spans="1:13" s="31" customFormat="1" ht="13.5">
      <c r="A98" s="54"/>
      <c r="B98" s="50" t="s">
        <v>55</v>
      </c>
      <c r="C98" s="51"/>
      <c r="D98" s="44" t="s">
        <v>79</v>
      </c>
      <c r="E98" s="44"/>
      <c r="F98" s="77" t="s">
        <v>292</v>
      </c>
      <c r="G98" s="77"/>
      <c r="H98" s="77"/>
      <c r="I98" s="49" t="s">
        <v>124</v>
      </c>
      <c r="J98" s="49"/>
      <c r="K98" s="44" t="s">
        <v>131</v>
      </c>
      <c r="L98" s="44"/>
    </row>
    <row r="99" spans="1:13" s="31" customFormat="1" ht="13.5">
      <c r="A99" s="54"/>
      <c r="B99" s="52"/>
      <c r="C99" s="53"/>
      <c r="D99" s="44" t="s">
        <v>80</v>
      </c>
      <c r="E99" s="44"/>
      <c r="F99" s="77" t="s">
        <v>293</v>
      </c>
      <c r="G99" s="77"/>
      <c r="H99" s="77"/>
      <c r="I99" s="49" t="s">
        <v>125</v>
      </c>
      <c r="J99" s="49"/>
      <c r="K99" s="44" t="s">
        <v>132</v>
      </c>
      <c r="L99" s="44"/>
    </row>
    <row r="100" spans="1:13" s="31" customFormat="1" ht="13.5">
      <c r="A100" s="54"/>
      <c r="B100" s="50" t="s">
        <v>56</v>
      </c>
      <c r="C100" s="51"/>
      <c r="D100" s="44" t="s">
        <v>81</v>
      </c>
      <c r="E100" s="44"/>
      <c r="F100" s="77" t="s">
        <v>294</v>
      </c>
      <c r="G100" s="77"/>
      <c r="H100" s="77"/>
      <c r="I100" s="49" t="s">
        <v>126</v>
      </c>
      <c r="J100" s="49"/>
      <c r="K100" s="44" t="s">
        <v>133</v>
      </c>
      <c r="L100" s="44"/>
    </row>
    <row r="101" spans="1:13" s="31" customFormat="1" ht="13.5">
      <c r="A101" s="55"/>
      <c r="B101" s="52"/>
      <c r="C101" s="53"/>
      <c r="D101" s="44" t="s">
        <v>82</v>
      </c>
      <c r="E101" s="44"/>
      <c r="F101" s="77" t="s">
        <v>295</v>
      </c>
      <c r="G101" s="77"/>
      <c r="H101" s="77"/>
      <c r="I101" s="49" t="s">
        <v>127</v>
      </c>
      <c r="J101" s="49"/>
      <c r="K101" s="44" t="s">
        <v>134</v>
      </c>
      <c r="L101" s="44"/>
    </row>
    <row r="102" spans="1:13" s="31" customFormat="1" ht="13.5">
      <c r="A102" s="76">
        <v>3</v>
      </c>
      <c r="B102" s="50" t="s">
        <v>44</v>
      </c>
      <c r="C102" s="51"/>
      <c r="D102" s="44" t="s">
        <v>57</v>
      </c>
      <c r="E102" s="44"/>
      <c r="F102" s="77" t="s">
        <v>296</v>
      </c>
      <c r="G102" s="77"/>
      <c r="H102" s="77"/>
      <c r="I102" s="49" t="s">
        <v>83</v>
      </c>
      <c r="J102" s="49"/>
      <c r="K102" s="44" t="s">
        <v>85</v>
      </c>
      <c r="L102" s="44"/>
    </row>
    <row r="103" spans="1:13" s="31" customFormat="1" ht="13.5">
      <c r="A103" s="54"/>
      <c r="B103" s="52"/>
      <c r="C103" s="53"/>
      <c r="D103" s="44" t="s">
        <v>60</v>
      </c>
      <c r="E103" s="44"/>
      <c r="F103" s="77" t="s">
        <v>297</v>
      </c>
      <c r="G103" s="77"/>
      <c r="H103" s="77"/>
      <c r="I103" s="49" t="s">
        <v>84</v>
      </c>
      <c r="J103" s="49"/>
      <c r="K103" s="44" t="s">
        <v>86</v>
      </c>
      <c r="L103" s="44"/>
    </row>
    <row r="104" spans="1:13" s="31" customFormat="1" ht="13.5">
      <c r="A104" s="54"/>
      <c r="B104" s="50" t="s">
        <v>45</v>
      </c>
      <c r="C104" s="51"/>
      <c r="D104" s="44" t="s">
        <v>58</v>
      </c>
      <c r="E104" s="44"/>
      <c r="F104" s="77" t="s">
        <v>298</v>
      </c>
      <c r="G104" s="77"/>
      <c r="H104" s="77"/>
      <c r="I104" s="49" t="s">
        <v>87</v>
      </c>
      <c r="J104" s="49"/>
      <c r="K104" s="44" t="s">
        <v>91</v>
      </c>
      <c r="L104" s="44"/>
    </row>
    <row r="105" spans="1:13" s="31" customFormat="1" ht="13.5">
      <c r="A105" s="54"/>
      <c r="B105" s="52"/>
      <c r="C105" s="53"/>
      <c r="D105" s="44" t="s">
        <v>61</v>
      </c>
      <c r="E105" s="44"/>
      <c r="F105" s="77" t="s">
        <v>299</v>
      </c>
      <c r="G105" s="77"/>
      <c r="H105" s="77"/>
      <c r="I105" s="49" t="s">
        <v>88</v>
      </c>
      <c r="J105" s="49"/>
      <c r="K105" s="44" t="s">
        <v>92</v>
      </c>
      <c r="L105" s="44"/>
    </row>
    <row r="106" spans="1:13" s="31" customFormat="1" ht="13.5">
      <c r="A106" s="54"/>
      <c r="B106" s="50" t="s">
        <v>46</v>
      </c>
      <c r="C106" s="51"/>
      <c r="D106" s="44" t="s">
        <v>59</v>
      </c>
      <c r="E106" s="44"/>
      <c r="F106" s="77" t="s">
        <v>300</v>
      </c>
      <c r="G106" s="77"/>
      <c r="H106" s="77"/>
      <c r="I106" s="49" t="s">
        <v>89</v>
      </c>
      <c r="J106" s="49"/>
      <c r="K106" s="44" t="s">
        <v>93</v>
      </c>
      <c r="L106" s="44"/>
    </row>
    <row r="107" spans="1:13" s="31" customFormat="1" ht="13.5">
      <c r="A107" s="55"/>
      <c r="B107" s="52"/>
      <c r="C107" s="53"/>
      <c r="D107" s="44" t="s">
        <v>62</v>
      </c>
      <c r="E107" s="44"/>
      <c r="F107" s="77" t="s">
        <v>301</v>
      </c>
      <c r="G107" s="77"/>
      <c r="H107" s="77"/>
      <c r="I107" s="49" t="s">
        <v>90</v>
      </c>
      <c r="J107" s="49"/>
      <c r="K107" s="44" t="s">
        <v>94</v>
      </c>
      <c r="L107" s="44"/>
    </row>
    <row r="108" spans="1:13" s="33" customFormat="1" ht="26.25" customHeight="1">
      <c r="A108" s="57" t="s">
        <v>5</v>
      </c>
      <c r="B108" s="58" t="s">
        <v>38</v>
      </c>
      <c r="C108" s="58"/>
      <c r="D108" s="57" t="s">
        <v>39</v>
      </c>
      <c r="E108" s="57"/>
      <c r="F108" s="57" t="s">
        <v>40</v>
      </c>
      <c r="G108" s="57"/>
      <c r="H108" s="57"/>
      <c r="I108" s="57" t="s">
        <v>41</v>
      </c>
      <c r="J108" s="57"/>
      <c r="K108" s="57"/>
      <c r="L108" s="57"/>
      <c r="M108" s="28"/>
    </row>
    <row r="109" spans="1:13" s="33" customFormat="1" ht="30.75" customHeight="1">
      <c r="A109" s="57"/>
      <c r="B109" s="58"/>
      <c r="C109" s="58"/>
      <c r="D109" s="57"/>
      <c r="E109" s="57"/>
      <c r="F109" s="57"/>
      <c r="G109" s="57"/>
      <c r="H109" s="57"/>
      <c r="I109" s="57" t="s">
        <v>42</v>
      </c>
      <c r="J109" s="57"/>
      <c r="K109" s="57" t="s">
        <v>43</v>
      </c>
      <c r="L109" s="57"/>
      <c r="M109" s="28"/>
    </row>
    <row r="110" spans="1:13" s="31" customFormat="1" ht="12.75" customHeight="1">
      <c r="A110" s="54">
        <v>3</v>
      </c>
      <c r="B110" s="50" t="s">
        <v>47</v>
      </c>
      <c r="C110" s="51"/>
      <c r="D110" s="44" t="s">
        <v>63</v>
      </c>
      <c r="E110" s="44"/>
      <c r="F110" s="77" t="s">
        <v>302</v>
      </c>
      <c r="G110" s="77"/>
      <c r="H110" s="77"/>
      <c r="I110" s="49" t="s">
        <v>95</v>
      </c>
      <c r="J110" s="49"/>
      <c r="K110" s="44" t="s">
        <v>97</v>
      </c>
      <c r="L110" s="44"/>
    </row>
    <row r="111" spans="1:13" s="31" customFormat="1" ht="12.75" customHeight="1">
      <c r="A111" s="54"/>
      <c r="B111" s="52"/>
      <c r="C111" s="53"/>
      <c r="D111" s="44" t="s">
        <v>64</v>
      </c>
      <c r="E111" s="44"/>
      <c r="F111" s="77" t="s">
        <v>303</v>
      </c>
      <c r="G111" s="77"/>
      <c r="H111" s="77"/>
      <c r="I111" s="49" t="s">
        <v>96</v>
      </c>
      <c r="J111" s="49"/>
      <c r="K111" s="44" t="s">
        <v>98</v>
      </c>
      <c r="L111" s="44"/>
    </row>
    <row r="112" spans="1:13" s="31" customFormat="1" ht="12.75" customHeight="1">
      <c r="A112" s="54"/>
      <c r="B112" s="50" t="s">
        <v>48</v>
      </c>
      <c r="C112" s="51"/>
      <c r="D112" s="44" t="s">
        <v>65</v>
      </c>
      <c r="E112" s="44"/>
      <c r="F112" s="77" t="s">
        <v>304</v>
      </c>
      <c r="G112" s="77"/>
      <c r="H112" s="77"/>
      <c r="I112" s="49" t="s">
        <v>99</v>
      </c>
      <c r="J112" s="49"/>
      <c r="K112" s="44" t="s">
        <v>108</v>
      </c>
      <c r="L112" s="44"/>
    </row>
    <row r="113" spans="1:12" s="31" customFormat="1" ht="12.75" customHeight="1">
      <c r="A113" s="54"/>
      <c r="B113" s="52"/>
      <c r="C113" s="53"/>
      <c r="D113" s="44" t="s">
        <v>66</v>
      </c>
      <c r="E113" s="44"/>
      <c r="F113" s="77" t="s">
        <v>305</v>
      </c>
      <c r="G113" s="77"/>
      <c r="H113" s="77"/>
      <c r="I113" s="49" t="s">
        <v>100</v>
      </c>
      <c r="J113" s="49"/>
      <c r="K113" s="44" t="s">
        <v>109</v>
      </c>
      <c r="L113" s="44"/>
    </row>
    <row r="114" spans="1:12" s="31" customFormat="1" ht="12.75" customHeight="1">
      <c r="A114" s="54"/>
      <c r="B114" s="50" t="s">
        <v>49</v>
      </c>
      <c r="C114" s="51"/>
      <c r="D114" s="44" t="s">
        <v>67</v>
      </c>
      <c r="E114" s="44"/>
      <c r="F114" s="77" t="s">
        <v>306</v>
      </c>
      <c r="G114" s="77"/>
      <c r="H114" s="77"/>
      <c r="I114" s="49" t="s">
        <v>102</v>
      </c>
      <c r="J114" s="49"/>
      <c r="K114" s="44" t="s">
        <v>110</v>
      </c>
      <c r="L114" s="44"/>
    </row>
    <row r="115" spans="1:12" s="31" customFormat="1" ht="12.75" customHeight="1">
      <c r="A115" s="54"/>
      <c r="B115" s="52"/>
      <c r="C115" s="53"/>
      <c r="D115" s="44" t="s">
        <v>68</v>
      </c>
      <c r="E115" s="44"/>
      <c r="F115" s="77" t="s">
        <v>307</v>
      </c>
      <c r="G115" s="77"/>
      <c r="H115" s="77"/>
      <c r="I115" s="49" t="s">
        <v>103</v>
      </c>
      <c r="J115" s="49"/>
      <c r="K115" s="44" t="s">
        <v>101</v>
      </c>
      <c r="L115" s="44"/>
    </row>
    <row r="116" spans="1:12" s="31" customFormat="1" ht="12.75" customHeight="1">
      <c r="A116" s="54"/>
      <c r="B116" s="50" t="s">
        <v>50</v>
      </c>
      <c r="C116" s="51"/>
      <c r="D116" s="44" t="s">
        <v>69</v>
      </c>
      <c r="E116" s="44"/>
      <c r="F116" s="77" t="s">
        <v>308</v>
      </c>
      <c r="G116" s="77"/>
      <c r="H116" s="77"/>
      <c r="I116" s="49" t="s">
        <v>104</v>
      </c>
      <c r="J116" s="49"/>
      <c r="K116" s="44" t="s">
        <v>111</v>
      </c>
      <c r="L116" s="44"/>
    </row>
    <row r="117" spans="1:12" s="31" customFormat="1" ht="12.75" customHeight="1">
      <c r="A117" s="54"/>
      <c r="B117" s="52"/>
      <c r="C117" s="53"/>
      <c r="D117" s="44" t="s">
        <v>70</v>
      </c>
      <c r="E117" s="44"/>
      <c r="F117" s="77" t="s">
        <v>309</v>
      </c>
      <c r="G117" s="77"/>
      <c r="H117" s="77"/>
      <c r="I117" s="49" t="s">
        <v>105</v>
      </c>
      <c r="J117" s="49"/>
      <c r="K117" s="44" t="s">
        <v>112</v>
      </c>
      <c r="L117" s="44"/>
    </row>
    <row r="118" spans="1:12" s="31" customFormat="1" ht="12.75" customHeight="1">
      <c r="A118" s="54"/>
      <c r="B118" s="50" t="s">
        <v>51</v>
      </c>
      <c r="C118" s="51"/>
      <c r="D118" s="44" t="s">
        <v>71</v>
      </c>
      <c r="E118" s="44"/>
      <c r="F118" s="77" t="s">
        <v>310</v>
      </c>
      <c r="G118" s="77"/>
      <c r="H118" s="77"/>
      <c r="I118" s="49" t="s">
        <v>106</v>
      </c>
      <c r="J118" s="49"/>
      <c r="K118" s="44" t="s">
        <v>113</v>
      </c>
      <c r="L118" s="44"/>
    </row>
    <row r="119" spans="1:12" s="31" customFormat="1" ht="12.75" customHeight="1">
      <c r="A119" s="54"/>
      <c r="B119" s="52"/>
      <c r="C119" s="53"/>
      <c r="D119" s="44" t="s">
        <v>72</v>
      </c>
      <c r="E119" s="44"/>
      <c r="F119" s="77" t="s">
        <v>311</v>
      </c>
      <c r="G119" s="77"/>
      <c r="H119" s="77"/>
      <c r="I119" s="49" t="s">
        <v>107</v>
      </c>
      <c r="J119" s="49"/>
      <c r="K119" s="44" t="s">
        <v>114</v>
      </c>
      <c r="L119" s="44"/>
    </row>
    <row r="120" spans="1:12" s="31" customFormat="1" ht="12.75" customHeight="1">
      <c r="A120" s="54"/>
      <c r="B120" s="50" t="s">
        <v>52</v>
      </c>
      <c r="C120" s="51"/>
      <c r="D120" s="44" t="s">
        <v>73</v>
      </c>
      <c r="E120" s="44"/>
      <c r="F120" s="77" t="s">
        <v>312</v>
      </c>
      <c r="G120" s="77"/>
      <c r="H120" s="77"/>
      <c r="I120" s="49" t="s">
        <v>115</v>
      </c>
      <c r="J120" s="49"/>
      <c r="K120" s="44" t="s">
        <v>117</v>
      </c>
      <c r="L120" s="44"/>
    </row>
    <row r="121" spans="1:12" s="31" customFormat="1" ht="12.75" customHeight="1">
      <c r="A121" s="54"/>
      <c r="B121" s="52"/>
      <c r="C121" s="53"/>
      <c r="D121" s="44" t="s">
        <v>74</v>
      </c>
      <c r="E121" s="44"/>
      <c r="F121" s="77" t="s">
        <v>313</v>
      </c>
      <c r="G121" s="77"/>
      <c r="H121" s="77"/>
      <c r="I121" s="49" t="s">
        <v>116</v>
      </c>
      <c r="J121" s="49"/>
      <c r="K121" s="44" t="s">
        <v>118</v>
      </c>
      <c r="L121" s="44"/>
    </row>
    <row r="122" spans="1:12" s="31" customFormat="1" ht="12.75" customHeight="1">
      <c r="A122" s="54"/>
      <c r="B122" s="50" t="s">
        <v>53</v>
      </c>
      <c r="C122" s="51"/>
      <c r="D122" s="44" t="s">
        <v>75</v>
      </c>
      <c r="E122" s="44"/>
      <c r="F122" s="77" t="s">
        <v>314</v>
      </c>
      <c r="G122" s="77"/>
      <c r="H122" s="77"/>
      <c r="I122" s="49" t="s">
        <v>119</v>
      </c>
      <c r="J122" s="49"/>
      <c r="K122" s="44" t="s">
        <v>128</v>
      </c>
      <c r="L122" s="44"/>
    </row>
    <row r="123" spans="1:12" s="31" customFormat="1" ht="12.75" customHeight="1">
      <c r="A123" s="54"/>
      <c r="B123" s="52"/>
      <c r="C123" s="53"/>
      <c r="D123" s="44" t="s">
        <v>76</v>
      </c>
      <c r="E123" s="44"/>
      <c r="F123" s="77" t="s">
        <v>315</v>
      </c>
      <c r="G123" s="77"/>
      <c r="H123" s="77"/>
      <c r="I123" s="49" t="s">
        <v>120</v>
      </c>
      <c r="J123" s="49"/>
      <c r="K123" s="44" t="s">
        <v>129</v>
      </c>
      <c r="L123" s="44"/>
    </row>
    <row r="124" spans="1:12" s="31" customFormat="1" ht="12.75" customHeight="1">
      <c r="A124" s="54"/>
      <c r="B124" s="50" t="s">
        <v>54</v>
      </c>
      <c r="C124" s="51"/>
      <c r="D124" s="44" t="s">
        <v>77</v>
      </c>
      <c r="E124" s="44"/>
      <c r="F124" s="77" t="s">
        <v>316</v>
      </c>
      <c r="G124" s="77"/>
      <c r="H124" s="77"/>
      <c r="I124" s="49" t="s">
        <v>122</v>
      </c>
      <c r="J124" s="49"/>
      <c r="K124" s="44" t="s">
        <v>130</v>
      </c>
      <c r="L124" s="44"/>
    </row>
    <row r="125" spans="1:12" s="31" customFormat="1" ht="12.75" customHeight="1">
      <c r="A125" s="54"/>
      <c r="B125" s="52"/>
      <c r="C125" s="53"/>
      <c r="D125" s="44" t="s">
        <v>78</v>
      </c>
      <c r="E125" s="44"/>
      <c r="F125" s="77" t="s">
        <v>317</v>
      </c>
      <c r="G125" s="77"/>
      <c r="H125" s="77"/>
      <c r="I125" s="49" t="s">
        <v>123</v>
      </c>
      <c r="J125" s="49"/>
      <c r="K125" s="44" t="s">
        <v>121</v>
      </c>
      <c r="L125" s="44"/>
    </row>
    <row r="126" spans="1:12" s="31" customFormat="1" ht="12.75" customHeight="1">
      <c r="A126" s="54"/>
      <c r="B126" s="50" t="s">
        <v>55</v>
      </c>
      <c r="C126" s="51"/>
      <c r="D126" s="44" t="s">
        <v>79</v>
      </c>
      <c r="E126" s="44"/>
      <c r="F126" s="77" t="s">
        <v>318</v>
      </c>
      <c r="G126" s="77"/>
      <c r="H126" s="77"/>
      <c r="I126" s="49" t="s">
        <v>124</v>
      </c>
      <c r="J126" s="49"/>
      <c r="K126" s="44" t="s">
        <v>131</v>
      </c>
      <c r="L126" s="44"/>
    </row>
    <row r="127" spans="1:12" s="31" customFormat="1" ht="12.75" customHeight="1">
      <c r="A127" s="54"/>
      <c r="B127" s="52"/>
      <c r="C127" s="53"/>
      <c r="D127" s="44" t="s">
        <v>80</v>
      </c>
      <c r="E127" s="44"/>
      <c r="F127" s="77" t="s">
        <v>319</v>
      </c>
      <c r="G127" s="77"/>
      <c r="H127" s="77"/>
      <c r="I127" s="49" t="s">
        <v>125</v>
      </c>
      <c r="J127" s="49"/>
      <c r="K127" s="44" t="s">
        <v>132</v>
      </c>
      <c r="L127" s="44"/>
    </row>
    <row r="128" spans="1:12" s="31" customFormat="1" ht="12.75" customHeight="1">
      <c r="A128" s="54"/>
      <c r="B128" s="50" t="s">
        <v>56</v>
      </c>
      <c r="C128" s="51"/>
      <c r="D128" s="44" t="s">
        <v>81</v>
      </c>
      <c r="E128" s="44"/>
      <c r="F128" s="77" t="s">
        <v>320</v>
      </c>
      <c r="G128" s="77"/>
      <c r="H128" s="77"/>
      <c r="I128" s="49" t="s">
        <v>126</v>
      </c>
      <c r="J128" s="49"/>
      <c r="K128" s="44" t="s">
        <v>133</v>
      </c>
      <c r="L128" s="44"/>
    </row>
    <row r="129" spans="1:12" s="31" customFormat="1" ht="12.75" customHeight="1">
      <c r="A129" s="55"/>
      <c r="B129" s="52"/>
      <c r="C129" s="53"/>
      <c r="D129" s="44" t="s">
        <v>82</v>
      </c>
      <c r="E129" s="44"/>
      <c r="F129" s="77" t="s">
        <v>321</v>
      </c>
      <c r="G129" s="77"/>
      <c r="H129" s="77"/>
      <c r="I129" s="49" t="s">
        <v>127</v>
      </c>
      <c r="J129" s="49"/>
      <c r="K129" s="44" t="s">
        <v>134</v>
      </c>
      <c r="L129" s="44"/>
    </row>
    <row r="130" spans="1:12" s="31" customFormat="1" ht="12.75" customHeight="1">
      <c r="A130" s="54">
        <v>4</v>
      </c>
      <c r="B130" s="50" t="s">
        <v>44</v>
      </c>
      <c r="C130" s="51"/>
      <c r="D130" s="44" t="s">
        <v>57</v>
      </c>
      <c r="E130" s="44"/>
      <c r="F130" s="77" t="s">
        <v>322</v>
      </c>
      <c r="G130" s="77"/>
      <c r="H130" s="77"/>
      <c r="I130" s="49" t="s">
        <v>83</v>
      </c>
      <c r="J130" s="49"/>
      <c r="K130" s="44" t="s">
        <v>85</v>
      </c>
      <c r="L130" s="44"/>
    </row>
    <row r="131" spans="1:12" s="31" customFormat="1" ht="12.75" customHeight="1">
      <c r="A131" s="54"/>
      <c r="B131" s="52"/>
      <c r="C131" s="53"/>
      <c r="D131" s="44" t="s">
        <v>60</v>
      </c>
      <c r="E131" s="44"/>
      <c r="F131" s="77" t="s">
        <v>323</v>
      </c>
      <c r="G131" s="77"/>
      <c r="H131" s="77"/>
      <c r="I131" s="49" t="s">
        <v>84</v>
      </c>
      <c r="J131" s="49"/>
      <c r="K131" s="44" t="s">
        <v>86</v>
      </c>
      <c r="L131" s="44"/>
    </row>
    <row r="132" spans="1:12" s="31" customFormat="1" ht="12.75" customHeight="1">
      <c r="A132" s="54"/>
      <c r="B132" s="50" t="s">
        <v>45</v>
      </c>
      <c r="C132" s="51"/>
      <c r="D132" s="44" t="s">
        <v>58</v>
      </c>
      <c r="E132" s="44"/>
      <c r="F132" s="77" t="s">
        <v>324</v>
      </c>
      <c r="G132" s="77"/>
      <c r="H132" s="77"/>
      <c r="I132" s="49" t="s">
        <v>87</v>
      </c>
      <c r="J132" s="49"/>
      <c r="K132" s="44" t="s">
        <v>91</v>
      </c>
      <c r="L132" s="44"/>
    </row>
    <row r="133" spans="1:12" s="31" customFormat="1" ht="12.75" customHeight="1">
      <c r="A133" s="54"/>
      <c r="B133" s="52"/>
      <c r="C133" s="53"/>
      <c r="D133" s="44" t="s">
        <v>61</v>
      </c>
      <c r="E133" s="44"/>
      <c r="F133" s="77" t="s">
        <v>325</v>
      </c>
      <c r="G133" s="77"/>
      <c r="H133" s="77"/>
      <c r="I133" s="49" t="s">
        <v>88</v>
      </c>
      <c r="J133" s="49"/>
      <c r="K133" s="44" t="s">
        <v>92</v>
      </c>
      <c r="L133" s="44"/>
    </row>
    <row r="134" spans="1:12" s="31" customFormat="1" ht="12.75" customHeight="1">
      <c r="A134" s="54"/>
      <c r="B134" s="50" t="s">
        <v>46</v>
      </c>
      <c r="C134" s="51"/>
      <c r="D134" s="44" t="s">
        <v>59</v>
      </c>
      <c r="E134" s="44"/>
      <c r="F134" s="77" t="s">
        <v>326</v>
      </c>
      <c r="G134" s="77"/>
      <c r="H134" s="77"/>
      <c r="I134" s="49" t="s">
        <v>89</v>
      </c>
      <c r="J134" s="49"/>
      <c r="K134" s="44" t="s">
        <v>93</v>
      </c>
      <c r="L134" s="44"/>
    </row>
    <row r="135" spans="1:12" s="31" customFormat="1" ht="12.75" customHeight="1">
      <c r="A135" s="54"/>
      <c r="B135" s="52"/>
      <c r="C135" s="53"/>
      <c r="D135" s="44" t="s">
        <v>62</v>
      </c>
      <c r="E135" s="44"/>
      <c r="F135" s="77" t="s">
        <v>327</v>
      </c>
      <c r="G135" s="77"/>
      <c r="H135" s="77"/>
      <c r="I135" s="49" t="s">
        <v>90</v>
      </c>
      <c r="J135" s="49"/>
      <c r="K135" s="44" t="s">
        <v>94</v>
      </c>
      <c r="L135" s="44"/>
    </row>
    <row r="136" spans="1:12" s="31" customFormat="1" ht="12.75" customHeight="1">
      <c r="A136" s="54"/>
      <c r="B136" s="50" t="s">
        <v>47</v>
      </c>
      <c r="C136" s="51"/>
      <c r="D136" s="44" t="s">
        <v>63</v>
      </c>
      <c r="E136" s="44"/>
      <c r="F136" s="77" t="s">
        <v>328</v>
      </c>
      <c r="G136" s="77"/>
      <c r="H136" s="77"/>
      <c r="I136" s="49" t="s">
        <v>95</v>
      </c>
      <c r="J136" s="49"/>
      <c r="K136" s="44" t="s">
        <v>97</v>
      </c>
      <c r="L136" s="44"/>
    </row>
    <row r="137" spans="1:12" s="31" customFormat="1" ht="12.75" customHeight="1">
      <c r="A137" s="54"/>
      <c r="B137" s="52"/>
      <c r="C137" s="53"/>
      <c r="D137" s="44" t="s">
        <v>64</v>
      </c>
      <c r="E137" s="44"/>
      <c r="F137" s="77" t="s">
        <v>329</v>
      </c>
      <c r="G137" s="77"/>
      <c r="H137" s="77"/>
      <c r="I137" s="49" t="s">
        <v>96</v>
      </c>
      <c r="J137" s="49"/>
      <c r="K137" s="44" t="s">
        <v>98</v>
      </c>
      <c r="L137" s="44"/>
    </row>
    <row r="138" spans="1:12" s="31" customFormat="1" ht="12.75" customHeight="1">
      <c r="A138" s="54"/>
      <c r="B138" s="50" t="s">
        <v>48</v>
      </c>
      <c r="C138" s="51"/>
      <c r="D138" s="44" t="s">
        <v>65</v>
      </c>
      <c r="E138" s="44"/>
      <c r="F138" s="77" t="s">
        <v>330</v>
      </c>
      <c r="G138" s="77"/>
      <c r="H138" s="77"/>
      <c r="I138" s="49" t="s">
        <v>99</v>
      </c>
      <c r="J138" s="49"/>
      <c r="K138" s="44" t="s">
        <v>108</v>
      </c>
      <c r="L138" s="44"/>
    </row>
    <row r="139" spans="1:12" s="31" customFormat="1" ht="12.75" customHeight="1">
      <c r="A139" s="54"/>
      <c r="B139" s="52"/>
      <c r="C139" s="53"/>
      <c r="D139" s="44" t="s">
        <v>66</v>
      </c>
      <c r="E139" s="44"/>
      <c r="F139" s="77" t="s">
        <v>331</v>
      </c>
      <c r="G139" s="77"/>
      <c r="H139" s="77"/>
      <c r="I139" s="49" t="s">
        <v>100</v>
      </c>
      <c r="J139" s="49"/>
      <c r="K139" s="44" t="s">
        <v>109</v>
      </c>
      <c r="L139" s="44"/>
    </row>
    <row r="140" spans="1:12" s="31" customFormat="1" ht="12.75" customHeight="1">
      <c r="A140" s="54"/>
      <c r="B140" s="50" t="s">
        <v>49</v>
      </c>
      <c r="C140" s="51"/>
      <c r="D140" s="44" t="s">
        <v>67</v>
      </c>
      <c r="E140" s="44"/>
      <c r="F140" s="77" t="s">
        <v>332</v>
      </c>
      <c r="G140" s="77"/>
      <c r="H140" s="77"/>
      <c r="I140" s="49" t="s">
        <v>102</v>
      </c>
      <c r="J140" s="49"/>
      <c r="K140" s="44" t="s">
        <v>110</v>
      </c>
      <c r="L140" s="44"/>
    </row>
    <row r="141" spans="1:12" s="31" customFormat="1" ht="12.75" customHeight="1">
      <c r="A141" s="54"/>
      <c r="B141" s="52"/>
      <c r="C141" s="53"/>
      <c r="D141" s="44" t="s">
        <v>68</v>
      </c>
      <c r="E141" s="44"/>
      <c r="F141" s="77" t="s">
        <v>333</v>
      </c>
      <c r="G141" s="77"/>
      <c r="H141" s="77"/>
      <c r="I141" s="49" t="s">
        <v>103</v>
      </c>
      <c r="J141" s="49"/>
      <c r="K141" s="44" t="s">
        <v>101</v>
      </c>
      <c r="L141" s="44"/>
    </row>
    <row r="142" spans="1:12" s="31" customFormat="1" ht="12.75" customHeight="1">
      <c r="A142" s="54"/>
      <c r="B142" s="50" t="s">
        <v>50</v>
      </c>
      <c r="C142" s="51"/>
      <c r="D142" s="44" t="s">
        <v>69</v>
      </c>
      <c r="E142" s="44"/>
      <c r="F142" s="77" t="s">
        <v>334</v>
      </c>
      <c r="G142" s="77"/>
      <c r="H142" s="77"/>
      <c r="I142" s="49" t="s">
        <v>104</v>
      </c>
      <c r="J142" s="49"/>
      <c r="K142" s="44" t="s">
        <v>111</v>
      </c>
      <c r="L142" s="44"/>
    </row>
    <row r="143" spans="1:12" s="31" customFormat="1" ht="12.75" customHeight="1">
      <c r="A143" s="54"/>
      <c r="B143" s="52"/>
      <c r="C143" s="53"/>
      <c r="D143" s="44" t="s">
        <v>70</v>
      </c>
      <c r="E143" s="44"/>
      <c r="F143" s="77" t="s">
        <v>335</v>
      </c>
      <c r="G143" s="77"/>
      <c r="H143" s="77"/>
      <c r="I143" s="49" t="s">
        <v>105</v>
      </c>
      <c r="J143" s="49"/>
      <c r="K143" s="44" t="s">
        <v>112</v>
      </c>
      <c r="L143" s="44"/>
    </row>
    <row r="144" spans="1:12" s="31" customFormat="1" ht="12.75" customHeight="1">
      <c r="A144" s="54"/>
      <c r="B144" s="50" t="s">
        <v>51</v>
      </c>
      <c r="C144" s="51"/>
      <c r="D144" s="44" t="s">
        <v>71</v>
      </c>
      <c r="E144" s="44"/>
      <c r="F144" s="77" t="s">
        <v>336</v>
      </c>
      <c r="G144" s="77"/>
      <c r="H144" s="77"/>
      <c r="I144" s="49" t="s">
        <v>106</v>
      </c>
      <c r="J144" s="49"/>
      <c r="K144" s="44" t="s">
        <v>113</v>
      </c>
      <c r="L144" s="44"/>
    </row>
    <row r="145" spans="1:13" s="31" customFormat="1" ht="12.75" customHeight="1">
      <c r="A145" s="54"/>
      <c r="B145" s="52"/>
      <c r="C145" s="53"/>
      <c r="D145" s="44" t="s">
        <v>72</v>
      </c>
      <c r="E145" s="44"/>
      <c r="F145" s="77" t="s">
        <v>337</v>
      </c>
      <c r="G145" s="77"/>
      <c r="H145" s="77"/>
      <c r="I145" s="49" t="s">
        <v>107</v>
      </c>
      <c r="J145" s="49"/>
      <c r="K145" s="44" t="s">
        <v>114</v>
      </c>
      <c r="L145" s="44"/>
    </row>
    <row r="146" spans="1:13" s="31" customFormat="1" ht="12.75" customHeight="1">
      <c r="A146" s="54"/>
      <c r="B146" s="50" t="s">
        <v>52</v>
      </c>
      <c r="C146" s="51"/>
      <c r="D146" s="44" t="s">
        <v>73</v>
      </c>
      <c r="E146" s="44"/>
      <c r="F146" s="77" t="s">
        <v>338</v>
      </c>
      <c r="G146" s="77"/>
      <c r="H146" s="77"/>
      <c r="I146" s="49" t="s">
        <v>115</v>
      </c>
      <c r="J146" s="49"/>
      <c r="K146" s="44" t="s">
        <v>117</v>
      </c>
      <c r="L146" s="44"/>
    </row>
    <row r="147" spans="1:13" s="31" customFormat="1" ht="12.75" customHeight="1">
      <c r="A147" s="54"/>
      <c r="B147" s="52"/>
      <c r="C147" s="53"/>
      <c r="D147" s="44" t="s">
        <v>74</v>
      </c>
      <c r="E147" s="44"/>
      <c r="F147" s="77" t="s">
        <v>339</v>
      </c>
      <c r="G147" s="77"/>
      <c r="H147" s="77"/>
      <c r="I147" s="49" t="s">
        <v>116</v>
      </c>
      <c r="J147" s="49"/>
      <c r="K147" s="44" t="s">
        <v>118</v>
      </c>
      <c r="L147" s="44"/>
    </row>
    <row r="148" spans="1:13" s="31" customFormat="1" ht="12.75" customHeight="1">
      <c r="A148" s="54"/>
      <c r="B148" s="50" t="s">
        <v>53</v>
      </c>
      <c r="C148" s="51"/>
      <c r="D148" s="44" t="s">
        <v>75</v>
      </c>
      <c r="E148" s="44"/>
      <c r="F148" s="77" t="s">
        <v>340</v>
      </c>
      <c r="G148" s="77"/>
      <c r="H148" s="77"/>
      <c r="I148" s="49" t="s">
        <v>119</v>
      </c>
      <c r="J148" s="49"/>
      <c r="K148" s="44" t="s">
        <v>128</v>
      </c>
      <c r="L148" s="44"/>
    </row>
    <row r="149" spans="1:13" s="31" customFormat="1" ht="12.75" customHeight="1">
      <c r="A149" s="54"/>
      <c r="B149" s="52"/>
      <c r="C149" s="53"/>
      <c r="D149" s="44" t="s">
        <v>76</v>
      </c>
      <c r="E149" s="44"/>
      <c r="F149" s="77" t="s">
        <v>341</v>
      </c>
      <c r="G149" s="77"/>
      <c r="H149" s="77"/>
      <c r="I149" s="49" t="s">
        <v>120</v>
      </c>
      <c r="J149" s="49"/>
      <c r="K149" s="44" t="s">
        <v>129</v>
      </c>
      <c r="L149" s="44"/>
    </row>
    <row r="150" spans="1:13" s="31" customFormat="1" ht="12.75" customHeight="1">
      <c r="A150" s="54"/>
      <c r="B150" s="50" t="s">
        <v>54</v>
      </c>
      <c r="C150" s="51"/>
      <c r="D150" s="44" t="s">
        <v>77</v>
      </c>
      <c r="E150" s="44"/>
      <c r="F150" s="77" t="s">
        <v>342</v>
      </c>
      <c r="G150" s="77"/>
      <c r="H150" s="77"/>
      <c r="I150" s="49" t="s">
        <v>122</v>
      </c>
      <c r="J150" s="49"/>
      <c r="K150" s="44" t="s">
        <v>130</v>
      </c>
      <c r="L150" s="44"/>
    </row>
    <row r="151" spans="1:13" s="31" customFormat="1" ht="12.75" customHeight="1">
      <c r="A151" s="54"/>
      <c r="B151" s="52"/>
      <c r="C151" s="53"/>
      <c r="D151" s="44" t="s">
        <v>78</v>
      </c>
      <c r="E151" s="44"/>
      <c r="F151" s="77" t="s">
        <v>343</v>
      </c>
      <c r="G151" s="77"/>
      <c r="H151" s="77"/>
      <c r="I151" s="49" t="s">
        <v>123</v>
      </c>
      <c r="J151" s="49"/>
      <c r="K151" s="44" t="s">
        <v>121</v>
      </c>
      <c r="L151" s="44"/>
    </row>
    <row r="152" spans="1:13" s="31" customFormat="1" ht="12.75" customHeight="1">
      <c r="A152" s="54"/>
      <c r="B152" s="50" t="s">
        <v>55</v>
      </c>
      <c r="C152" s="51"/>
      <c r="D152" s="44" t="s">
        <v>79</v>
      </c>
      <c r="E152" s="44"/>
      <c r="F152" s="77" t="s">
        <v>344</v>
      </c>
      <c r="G152" s="77"/>
      <c r="H152" s="77"/>
      <c r="I152" s="49" t="s">
        <v>124</v>
      </c>
      <c r="J152" s="49"/>
      <c r="K152" s="44" t="s">
        <v>131</v>
      </c>
      <c r="L152" s="44"/>
    </row>
    <row r="153" spans="1:13" s="31" customFormat="1" ht="12.75" customHeight="1">
      <c r="A153" s="54"/>
      <c r="B153" s="52"/>
      <c r="C153" s="53"/>
      <c r="D153" s="44" t="s">
        <v>80</v>
      </c>
      <c r="E153" s="44"/>
      <c r="F153" s="77" t="s">
        <v>345</v>
      </c>
      <c r="G153" s="77"/>
      <c r="H153" s="77"/>
      <c r="I153" s="49" t="s">
        <v>125</v>
      </c>
      <c r="J153" s="49"/>
      <c r="K153" s="44" t="s">
        <v>132</v>
      </c>
      <c r="L153" s="44"/>
    </row>
    <row r="154" spans="1:13" s="31" customFormat="1" ht="12.75" customHeight="1">
      <c r="A154" s="54"/>
      <c r="B154" s="50" t="s">
        <v>56</v>
      </c>
      <c r="C154" s="51"/>
      <c r="D154" s="44" t="s">
        <v>81</v>
      </c>
      <c r="E154" s="44"/>
      <c r="F154" s="77" t="s">
        <v>346</v>
      </c>
      <c r="G154" s="77"/>
      <c r="H154" s="77"/>
      <c r="I154" s="49" t="s">
        <v>126</v>
      </c>
      <c r="J154" s="49"/>
      <c r="K154" s="44" t="s">
        <v>133</v>
      </c>
      <c r="L154" s="44"/>
    </row>
    <row r="155" spans="1:13" s="31" customFormat="1" ht="12.75" customHeight="1">
      <c r="A155" s="55"/>
      <c r="B155" s="52"/>
      <c r="C155" s="53"/>
      <c r="D155" s="44" t="s">
        <v>82</v>
      </c>
      <c r="E155" s="44"/>
      <c r="F155" s="77" t="s">
        <v>347</v>
      </c>
      <c r="G155" s="77"/>
      <c r="H155" s="77"/>
      <c r="I155" s="49" t="s">
        <v>127</v>
      </c>
      <c r="J155" s="49"/>
      <c r="K155" s="44" t="s">
        <v>134</v>
      </c>
      <c r="L155" s="44"/>
    </row>
    <row r="156" spans="1:13" s="31" customFormat="1" ht="5.25" customHeight="1">
      <c r="A156" s="29"/>
      <c r="B156" s="29"/>
      <c r="C156" s="29"/>
      <c r="D156" s="16"/>
      <c r="E156" s="34"/>
      <c r="F156" s="34"/>
      <c r="G156" s="34"/>
      <c r="H156" s="34"/>
      <c r="I156" s="35"/>
      <c r="J156" s="35"/>
      <c r="K156" s="29"/>
      <c r="L156" s="32"/>
    </row>
    <row r="157" spans="1:13" s="31" customFormat="1" ht="13.5">
      <c r="A157" s="14" t="s">
        <v>137</v>
      </c>
      <c r="B157" s="29"/>
      <c r="C157" s="29"/>
      <c r="D157" s="16"/>
      <c r="E157" s="34"/>
      <c r="F157" s="34"/>
      <c r="G157" s="34"/>
      <c r="H157" s="34"/>
      <c r="I157" s="35"/>
      <c r="J157" s="35"/>
      <c r="K157" s="29"/>
      <c r="L157" s="32"/>
    </row>
    <row r="158" spans="1:13" s="31" customFormat="1" ht="4.5" customHeight="1">
      <c r="A158" s="29"/>
      <c r="B158" s="29"/>
      <c r="C158" s="29"/>
      <c r="D158" s="16"/>
      <c r="E158" s="34"/>
      <c r="F158" s="34"/>
      <c r="G158" s="34"/>
      <c r="H158" s="34"/>
      <c r="I158" s="35"/>
      <c r="J158" s="35"/>
      <c r="K158" s="29"/>
      <c r="L158" s="32"/>
    </row>
    <row r="159" spans="1:13" s="33" customFormat="1" ht="42.75" customHeight="1">
      <c r="A159" s="15" t="s">
        <v>5</v>
      </c>
      <c r="B159" s="58" t="s">
        <v>38</v>
      </c>
      <c r="C159" s="58"/>
      <c r="D159" s="57" t="s">
        <v>138</v>
      </c>
      <c r="E159" s="57"/>
      <c r="F159" s="57" t="s">
        <v>139</v>
      </c>
      <c r="G159" s="57"/>
      <c r="H159" s="57"/>
      <c r="I159" s="57" t="s">
        <v>140</v>
      </c>
      <c r="J159" s="57"/>
      <c r="K159" s="57"/>
      <c r="L159" s="57"/>
      <c r="M159" s="28"/>
    </row>
    <row r="160" spans="1:13" s="31" customFormat="1" ht="13.5">
      <c r="A160" s="76">
        <v>1</v>
      </c>
      <c r="B160" s="56" t="s">
        <v>44</v>
      </c>
      <c r="C160" s="56"/>
      <c r="D160" s="64" t="e">
        <f>(F48-F49)/6</f>
        <v>#VALUE!</v>
      </c>
      <c r="E160" s="64"/>
      <c r="F160" s="61" t="e">
        <f>(1-D160)/1*100</f>
        <v>#VALUE!</v>
      </c>
      <c r="G160" s="61"/>
      <c r="H160" s="61"/>
      <c r="I160" s="62" t="s">
        <v>141</v>
      </c>
      <c r="J160" s="63"/>
      <c r="K160" s="63"/>
      <c r="L160" s="63"/>
    </row>
    <row r="161" spans="1:13" s="31" customFormat="1" ht="13.5">
      <c r="A161" s="54"/>
      <c r="B161" s="56" t="s">
        <v>45</v>
      </c>
      <c r="C161" s="56"/>
      <c r="D161" s="64" t="e">
        <f>(F50-F51)/6</f>
        <v>#VALUE!</v>
      </c>
      <c r="E161" s="64"/>
      <c r="F161" s="61" t="e">
        <f>(2-D161)/2*100</f>
        <v>#VALUE!</v>
      </c>
      <c r="G161" s="61"/>
      <c r="H161" s="61"/>
      <c r="I161" s="62" t="s">
        <v>142</v>
      </c>
      <c r="J161" s="63"/>
      <c r="K161" s="63"/>
      <c r="L161" s="63"/>
    </row>
    <row r="162" spans="1:13" s="31" customFormat="1" ht="13.5">
      <c r="A162" s="54"/>
      <c r="B162" s="56" t="s">
        <v>46</v>
      </c>
      <c r="C162" s="56"/>
      <c r="D162" s="64" t="e">
        <f>(F52-F53)/6</f>
        <v>#VALUE!</v>
      </c>
      <c r="E162" s="64"/>
      <c r="F162" s="61" t="e">
        <f>(5-D162)/5*100</f>
        <v>#VALUE!</v>
      </c>
      <c r="G162" s="61"/>
      <c r="H162" s="61"/>
      <c r="I162" s="62" t="s">
        <v>6</v>
      </c>
      <c r="J162" s="63"/>
      <c r="K162" s="63"/>
      <c r="L162" s="63"/>
    </row>
    <row r="163" spans="1:13" s="31" customFormat="1" ht="13.5">
      <c r="A163" s="54"/>
      <c r="B163" s="56" t="s">
        <v>47</v>
      </c>
      <c r="C163" s="56"/>
      <c r="D163" s="64" t="e">
        <f>(F56-F57)/6</f>
        <v>#VALUE!</v>
      </c>
      <c r="E163" s="64"/>
      <c r="F163" s="61" t="e">
        <f>(10-D163)/10*100</f>
        <v>#VALUE!</v>
      </c>
      <c r="G163" s="61"/>
      <c r="H163" s="61"/>
      <c r="I163" s="62" t="s">
        <v>6</v>
      </c>
      <c r="J163" s="63"/>
      <c r="K163" s="63"/>
      <c r="L163" s="63"/>
    </row>
    <row r="164" spans="1:13" s="31" customFormat="1" ht="13.5">
      <c r="A164" s="55"/>
      <c r="B164" s="56" t="s">
        <v>48</v>
      </c>
      <c r="C164" s="56"/>
      <c r="D164" s="64" t="e">
        <f>(F58-F59)/6</f>
        <v>#VALUE!</v>
      </c>
      <c r="E164" s="64"/>
      <c r="F164" s="61" t="e">
        <f>(20-D164)/20*100</f>
        <v>#VALUE!</v>
      </c>
      <c r="G164" s="61"/>
      <c r="H164" s="61"/>
      <c r="I164" s="62" t="s">
        <v>6</v>
      </c>
      <c r="J164" s="63"/>
      <c r="K164" s="63"/>
      <c r="L164" s="63"/>
    </row>
    <row r="165" spans="1:13" s="33" customFormat="1" ht="42.75" customHeight="1">
      <c r="A165" s="15" t="s">
        <v>5</v>
      </c>
      <c r="B165" s="58" t="s">
        <v>38</v>
      </c>
      <c r="C165" s="58"/>
      <c r="D165" s="57" t="s">
        <v>138</v>
      </c>
      <c r="E165" s="57"/>
      <c r="F165" s="57" t="s">
        <v>139</v>
      </c>
      <c r="G165" s="57"/>
      <c r="H165" s="57"/>
      <c r="I165" s="57" t="s">
        <v>140</v>
      </c>
      <c r="J165" s="57"/>
      <c r="K165" s="57"/>
      <c r="L165" s="57"/>
      <c r="M165" s="28"/>
    </row>
    <row r="166" spans="1:13" s="31" customFormat="1" ht="15" customHeight="1">
      <c r="A166" s="56">
        <v>1</v>
      </c>
      <c r="B166" s="56" t="s">
        <v>49</v>
      </c>
      <c r="C166" s="56"/>
      <c r="D166" s="59" t="e">
        <f>(F60-F61)/6</f>
        <v>#VALUE!</v>
      </c>
      <c r="E166" s="60"/>
      <c r="F166" s="61" t="e">
        <f>(50-D166)/50*100</f>
        <v>#VALUE!</v>
      </c>
      <c r="G166" s="61"/>
      <c r="H166" s="61"/>
      <c r="I166" s="62" t="s">
        <v>6</v>
      </c>
      <c r="J166" s="63"/>
      <c r="K166" s="63"/>
      <c r="L166" s="63"/>
    </row>
    <row r="167" spans="1:13" s="31" customFormat="1" ht="15" customHeight="1">
      <c r="A167" s="56"/>
      <c r="B167" s="56" t="s">
        <v>50</v>
      </c>
      <c r="C167" s="56"/>
      <c r="D167" s="59" t="e">
        <f>(F62-F63)/6</f>
        <v>#VALUE!</v>
      </c>
      <c r="E167" s="60"/>
      <c r="F167" s="61" t="e">
        <f>(100-D167)/100*100</f>
        <v>#VALUE!</v>
      </c>
      <c r="G167" s="61"/>
      <c r="H167" s="61"/>
      <c r="I167" s="62" t="s">
        <v>6</v>
      </c>
      <c r="J167" s="63"/>
      <c r="K167" s="63"/>
      <c r="L167" s="63"/>
    </row>
    <row r="168" spans="1:13" s="31" customFormat="1" ht="15" customHeight="1">
      <c r="A168" s="56"/>
      <c r="B168" s="56" t="s">
        <v>51</v>
      </c>
      <c r="C168" s="56"/>
      <c r="D168" s="59" t="e">
        <f>(F64-F65)/6</f>
        <v>#VALUE!</v>
      </c>
      <c r="E168" s="60"/>
      <c r="F168" s="61" t="e">
        <f>(200-D168)/200*100</f>
        <v>#VALUE!</v>
      </c>
      <c r="G168" s="61"/>
      <c r="H168" s="61"/>
      <c r="I168" s="62" t="s">
        <v>6</v>
      </c>
      <c r="J168" s="63"/>
      <c r="K168" s="63"/>
      <c r="L168" s="63"/>
    </row>
    <row r="169" spans="1:13" s="31" customFormat="1" ht="15" customHeight="1">
      <c r="A169" s="56"/>
      <c r="B169" s="56" t="s">
        <v>52</v>
      </c>
      <c r="C169" s="56"/>
      <c r="D169" s="59" t="e">
        <f>(F66-F67)/6</f>
        <v>#VALUE!</v>
      </c>
      <c r="E169" s="60"/>
      <c r="F169" s="61" t="e">
        <f>(0.5-D169)/0.5*100</f>
        <v>#VALUE!</v>
      </c>
      <c r="G169" s="61"/>
      <c r="H169" s="61"/>
      <c r="I169" s="62" t="s">
        <v>6</v>
      </c>
      <c r="J169" s="63"/>
      <c r="K169" s="63"/>
      <c r="L169" s="63"/>
    </row>
    <row r="170" spans="1:13" s="31" customFormat="1" ht="15" customHeight="1">
      <c r="A170" s="56"/>
      <c r="B170" s="56" t="s">
        <v>53</v>
      </c>
      <c r="C170" s="56"/>
      <c r="D170" s="59" t="e">
        <f>(F68-F69)/6</f>
        <v>#VALUE!</v>
      </c>
      <c r="E170" s="60"/>
      <c r="F170" s="61" t="e">
        <f>(1-D170)/1*100</f>
        <v>#VALUE!</v>
      </c>
      <c r="G170" s="61"/>
      <c r="H170" s="61"/>
      <c r="I170" s="62" t="s">
        <v>6</v>
      </c>
      <c r="J170" s="63"/>
      <c r="K170" s="63"/>
      <c r="L170" s="63"/>
    </row>
    <row r="171" spans="1:13" s="31" customFormat="1" ht="15" customHeight="1">
      <c r="A171" s="56"/>
      <c r="B171" s="56" t="s">
        <v>54</v>
      </c>
      <c r="C171" s="56"/>
      <c r="D171" s="59" t="e">
        <f>(F70-F71)/6</f>
        <v>#VALUE!</v>
      </c>
      <c r="E171" s="60"/>
      <c r="F171" s="61" t="e">
        <f>(2-D171)/2*100</f>
        <v>#VALUE!</v>
      </c>
      <c r="G171" s="61"/>
      <c r="H171" s="61"/>
      <c r="I171" s="62" t="s">
        <v>6</v>
      </c>
      <c r="J171" s="63"/>
      <c r="K171" s="63"/>
      <c r="L171" s="63"/>
    </row>
    <row r="172" spans="1:13" s="31" customFormat="1" ht="15" customHeight="1">
      <c r="A172" s="56"/>
      <c r="B172" s="56" t="s">
        <v>55</v>
      </c>
      <c r="C172" s="56"/>
      <c r="D172" s="59" t="e">
        <f>(F72-F73)/6</f>
        <v>#VALUE!</v>
      </c>
      <c r="E172" s="60"/>
      <c r="F172" s="61" t="e">
        <f>(5-D172)/5*100</f>
        <v>#VALUE!</v>
      </c>
      <c r="G172" s="61"/>
      <c r="H172" s="61"/>
      <c r="I172" s="62" t="s">
        <v>6</v>
      </c>
      <c r="J172" s="63"/>
      <c r="K172" s="63"/>
      <c r="L172" s="63"/>
    </row>
    <row r="173" spans="1:13" s="31" customFormat="1" ht="15" customHeight="1">
      <c r="A173" s="56"/>
      <c r="B173" s="56" t="s">
        <v>56</v>
      </c>
      <c r="C173" s="56"/>
      <c r="D173" s="64" t="e">
        <f>(F74-F75)/6</f>
        <v>#VALUE!</v>
      </c>
      <c r="E173" s="64"/>
      <c r="F173" s="61" t="e">
        <f>(10-D173)/10*100</f>
        <v>#VALUE!</v>
      </c>
      <c r="G173" s="61"/>
      <c r="H173" s="61"/>
      <c r="I173" s="62" t="s">
        <v>6</v>
      </c>
      <c r="J173" s="63"/>
      <c r="K173" s="63"/>
      <c r="L173" s="63"/>
    </row>
    <row r="174" spans="1:13" s="31" customFormat="1" ht="15" customHeight="1">
      <c r="A174" s="56">
        <v>2</v>
      </c>
      <c r="B174" s="56" t="s">
        <v>44</v>
      </c>
      <c r="C174" s="56"/>
      <c r="D174" s="64" t="e">
        <f>(F76-F77)/6</f>
        <v>#VALUE!</v>
      </c>
      <c r="E174" s="64"/>
      <c r="F174" s="61" t="e">
        <f>(1-D174)/1*100</f>
        <v>#VALUE!</v>
      </c>
      <c r="G174" s="61"/>
      <c r="H174" s="61"/>
      <c r="I174" s="62" t="s">
        <v>141</v>
      </c>
      <c r="J174" s="63"/>
      <c r="K174" s="63"/>
      <c r="L174" s="63"/>
    </row>
    <row r="175" spans="1:13" s="31" customFormat="1" ht="15" customHeight="1">
      <c r="A175" s="56"/>
      <c r="B175" s="56" t="s">
        <v>45</v>
      </c>
      <c r="C175" s="56"/>
      <c r="D175" s="64" t="e">
        <f>(F78-F79)/6</f>
        <v>#VALUE!</v>
      </c>
      <c r="E175" s="64"/>
      <c r="F175" s="61" t="e">
        <f>(2-D175)/2*100</f>
        <v>#VALUE!</v>
      </c>
      <c r="G175" s="61"/>
      <c r="H175" s="61"/>
      <c r="I175" s="62" t="s">
        <v>142</v>
      </c>
      <c r="J175" s="63"/>
      <c r="K175" s="63"/>
      <c r="L175" s="63"/>
    </row>
    <row r="176" spans="1:13" s="31" customFormat="1" ht="15" customHeight="1">
      <c r="A176" s="56"/>
      <c r="B176" s="56" t="s">
        <v>46</v>
      </c>
      <c r="C176" s="56"/>
      <c r="D176" s="64" t="e">
        <f>(F80-F81)/6</f>
        <v>#VALUE!</v>
      </c>
      <c r="E176" s="64"/>
      <c r="F176" s="61" t="e">
        <f>(5-D176)/5*100</f>
        <v>#VALUE!</v>
      </c>
      <c r="G176" s="61"/>
      <c r="H176" s="61"/>
      <c r="I176" s="62" t="s">
        <v>6</v>
      </c>
      <c r="J176" s="63"/>
      <c r="K176" s="63"/>
      <c r="L176" s="63"/>
    </row>
    <row r="177" spans="1:12" s="31" customFormat="1" ht="15" customHeight="1">
      <c r="A177" s="56"/>
      <c r="B177" s="56" t="s">
        <v>47</v>
      </c>
      <c r="C177" s="56"/>
      <c r="D177" s="64" t="e">
        <f>(F82-F83)/6</f>
        <v>#VALUE!</v>
      </c>
      <c r="E177" s="64"/>
      <c r="F177" s="61" t="e">
        <f>(10-D177)/10*100</f>
        <v>#VALUE!</v>
      </c>
      <c r="G177" s="61"/>
      <c r="H177" s="61"/>
      <c r="I177" s="62" t="s">
        <v>6</v>
      </c>
      <c r="J177" s="63"/>
      <c r="K177" s="63"/>
      <c r="L177" s="63"/>
    </row>
    <row r="178" spans="1:12" s="31" customFormat="1" ht="15" customHeight="1">
      <c r="A178" s="56"/>
      <c r="B178" s="56" t="s">
        <v>48</v>
      </c>
      <c r="C178" s="56"/>
      <c r="D178" s="59" t="e">
        <f>(F84-F85)/6</f>
        <v>#VALUE!</v>
      </c>
      <c r="E178" s="60"/>
      <c r="F178" s="61" t="e">
        <f>(20-D178)/20*100</f>
        <v>#VALUE!</v>
      </c>
      <c r="G178" s="61"/>
      <c r="H178" s="61"/>
      <c r="I178" s="62" t="s">
        <v>6</v>
      </c>
      <c r="J178" s="63"/>
      <c r="K178" s="63"/>
      <c r="L178" s="63"/>
    </row>
    <row r="179" spans="1:12" s="31" customFormat="1" ht="15" customHeight="1">
      <c r="A179" s="56"/>
      <c r="B179" s="56" t="s">
        <v>49</v>
      </c>
      <c r="C179" s="56"/>
      <c r="D179" s="59" t="e">
        <f>(F86-F87)/6</f>
        <v>#VALUE!</v>
      </c>
      <c r="E179" s="60"/>
      <c r="F179" s="61" t="e">
        <f>(50-D179)/50*100</f>
        <v>#VALUE!</v>
      </c>
      <c r="G179" s="61"/>
      <c r="H179" s="61"/>
      <c r="I179" s="62" t="s">
        <v>6</v>
      </c>
      <c r="J179" s="63"/>
      <c r="K179" s="63"/>
      <c r="L179" s="63"/>
    </row>
    <row r="180" spans="1:12" s="31" customFormat="1" ht="15" customHeight="1">
      <c r="A180" s="56"/>
      <c r="B180" s="56" t="s">
        <v>50</v>
      </c>
      <c r="C180" s="56"/>
      <c r="D180" s="59" t="e">
        <f>(F88-F89)/6</f>
        <v>#VALUE!</v>
      </c>
      <c r="E180" s="60"/>
      <c r="F180" s="61" t="e">
        <f>(100-D180)/100*100</f>
        <v>#VALUE!</v>
      </c>
      <c r="G180" s="61"/>
      <c r="H180" s="61"/>
      <c r="I180" s="62" t="s">
        <v>6</v>
      </c>
      <c r="J180" s="63"/>
      <c r="K180" s="63"/>
      <c r="L180" s="63"/>
    </row>
    <row r="181" spans="1:12" s="31" customFormat="1" ht="15" customHeight="1">
      <c r="A181" s="56"/>
      <c r="B181" s="56" t="s">
        <v>51</v>
      </c>
      <c r="C181" s="56"/>
      <c r="D181" s="59" t="e">
        <f>(F90-F91)/6</f>
        <v>#VALUE!</v>
      </c>
      <c r="E181" s="60"/>
      <c r="F181" s="61" t="e">
        <f>(200-D181)/200*100</f>
        <v>#VALUE!</v>
      </c>
      <c r="G181" s="61"/>
      <c r="H181" s="61"/>
      <c r="I181" s="62" t="s">
        <v>6</v>
      </c>
      <c r="J181" s="63"/>
      <c r="K181" s="63"/>
      <c r="L181" s="63"/>
    </row>
    <row r="182" spans="1:12" s="31" customFormat="1" ht="15" customHeight="1">
      <c r="A182" s="56"/>
      <c r="B182" s="56" t="s">
        <v>52</v>
      </c>
      <c r="C182" s="56"/>
      <c r="D182" s="59" t="e">
        <f>(F92-F93)/6</f>
        <v>#VALUE!</v>
      </c>
      <c r="E182" s="60"/>
      <c r="F182" s="61" t="e">
        <f>(0.5-D182)/0.5*100</f>
        <v>#VALUE!</v>
      </c>
      <c r="G182" s="61"/>
      <c r="H182" s="61"/>
      <c r="I182" s="62" t="s">
        <v>6</v>
      </c>
      <c r="J182" s="63"/>
      <c r="K182" s="63"/>
      <c r="L182" s="63"/>
    </row>
    <row r="183" spans="1:12" s="31" customFormat="1" ht="15" customHeight="1">
      <c r="A183" s="56"/>
      <c r="B183" s="56" t="s">
        <v>53</v>
      </c>
      <c r="C183" s="56"/>
      <c r="D183" s="59" t="e">
        <f>(F94-F95)/6</f>
        <v>#VALUE!</v>
      </c>
      <c r="E183" s="60"/>
      <c r="F183" s="61" t="e">
        <f>(1-D183)/1*100</f>
        <v>#VALUE!</v>
      </c>
      <c r="G183" s="61"/>
      <c r="H183" s="61"/>
      <c r="I183" s="62" t="s">
        <v>6</v>
      </c>
      <c r="J183" s="63"/>
      <c r="K183" s="63"/>
      <c r="L183" s="63"/>
    </row>
    <row r="184" spans="1:12" s="31" customFormat="1" ht="15" customHeight="1">
      <c r="A184" s="56"/>
      <c r="B184" s="56" t="s">
        <v>54</v>
      </c>
      <c r="C184" s="56"/>
      <c r="D184" s="59" t="e">
        <f>(F96-F97)/6</f>
        <v>#VALUE!</v>
      </c>
      <c r="E184" s="60"/>
      <c r="F184" s="61" t="e">
        <f>(2-D184)/2*100</f>
        <v>#VALUE!</v>
      </c>
      <c r="G184" s="61"/>
      <c r="H184" s="61"/>
      <c r="I184" s="62" t="s">
        <v>6</v>
      </c>
      <c r="J184" s="63"/>
      <c r="K184" s="63"/>
      <c r="L184" s="63"/>
    </row>
    <row r="185" spans="1:12" s="31" customFormat="1" ht="15" customHeight="1">
      <c r="A185" s="56"/>
      <c r="B185" s="56" t="s">
        <v>55</v>
      </c>
      <c r="C185" s="56"/>
      <c r="D185" s="59" t="e">
        <f>(F98-F99)/6</f>
        <v>#VALUE!</v>
      </c>
      <c r="E185" s="60"/>
      <c r="F185" s="61" t="e">
        <f>(5-D185)/5*100</f>
        <v>#VALUE!</v>
      </c>
      <c r="G185" s="61"/>
      <c r="H185" s="61"/>
      <c r="I185" s="62" t="s">
        <v>6</v>
      </c>
      <c r="J185" s="63"/>
      <c r="K185" s="63"/>
      <c r="L185" s="63"/>
    </row>
    <row r="186" spans="1:12" s="31" customFormat="1" ht="15" customHeight="1">
      <c r="A186" s="56"/>
      <c r="B186" s="56" t="s">
        <v>56</v>
      </c>
      <c r="C186" s="56"/>
      <c r="D186" s="64" t="e">
        <f>(F100-F101)/6</f>
        <v>#VALUE!</v>
      </c>
      <c r="E186" s="64"/>
      <c r="F186" s="61" t="e">
        <f>(10-D186)/10*100</f>
        <v>#VALUE!</v>
      </c>
      <c r="G186" s="61"/>
      <c r="H186" s="61"/>
      <c r="I186" s="62" t="s">
        <v>6</v>
      </c>
      <c r="J186" s="63"/>
      <c r="K186" s="63"/>
      <c r="L186" s="63"/>
    </row>
    <row r="187" spans="1:12" s="31" customFormat="1" ht="15" customHeight="1">
      <c r="A187" s="56">
        <v>3</v>
      </c>
      <c r="B187" s="56" t="s">
        <v>44</v>
      </c>
      <c r="C187" s="56"/>
      <c r="D187" s="64" t="e">
        <f>(F102-F103)/6</f>
        <v>#VALUE!</v>
      </c>
      <c r="E187" s="64"/>
      <c r="F187" s="61" t="e">
        <f>(1-D187)/1*100</f>
        <v>#VALUE!</v>
      </c>
      <c r="G187" s="61"/>
      <c r="H187" s="61"/>
      <c r="I187" s="62" t="s">
        <v>141</v>
      </c>
      <c r="J187" s="63"/>
      <c r="K187" s="63"/>
      <c r="L187" s="63"/>
    </row>
    <row r="188" spans="1:12" s="31" customFormat="1" ht="15" customHeight="1">
      <c r="A188" s="56"/>
      <c r="B188" s="56" t="s">
        <v>45</v>
      </c>
      <c r="C188" s="56"/>
      <c r="D188" s="64" t="e">
        <f>(F104-F105)/6</f>
        <v>#VALUE!</v>
      </c>
      <c r="E188" s="64"/>
      <c r="F188" s="61" t="e">
        <f>(2-D188)/2*100</f>
        <v>#VALUE!</v>
      </c>
      <c r="G188" s="61"/>
      <c r="H188" s="61"/>
      <c r="I188" s="62" t="s">
        <v>142</v>
      </c>
      <c r="J188" s="63"/>
      <c r="K188" s="63"/>
      <c r="L188" s="63"/>
    </row>
    <row r="189" spans="1:12" s="31" customFormat="1" ht="15" customHeight="1">
      <c r="A189" s="56"/>
      <c r="B189" s="56" t="s">
        <v>46</v>
      </c>
      <c r="C189" s="56"/>
      <c r="D189" s="64" t="e">
        <f>(F106-F107)/6</f>
        <v>#VALUE!</v>
      </c>
      <c r="E189" s="64"/>
      <c r="F189" s="61" t="e">
        <f>(5-D189)/5*100</f>
        <v>#VALUE!</v>
      </c>
      <c r="G189" s="61"/>
      <c r="H189" s="61"/>
      <c r="I189" s="62" t="s">
        <v>6</v>
      </c>
      <c r="J189" s="63"/>
      <c r="K189" s="63"/>
      <c r="L189" s="63"/>
    </row>
    <row r="190" spans="1:12" s="31" customFormat="1" ht="15" customHeight="1">
      <c r="A190" s="56"/>
      <c r="B190" s="56" t="s">
        <v>47</v>
      </c>
      <c r="C190" s="56"/>
      <c r="D190" s="64" t="e">
        <f>(F110-F111)/6</f>
        <v>#VALUE!</v>
      </c>
      <c r="E190" s="64"/>
      <c r="F190" s="61" t="e">
        <f>(10-D190)/10*100</f>
        <v>#VALUE!</v>
      </c>
      <c r="G190" s="61"/>
      <c r="H190" s="61"/>
      <c r="I190" s="62" t="s">
        <v>6</v>
      </c>
      <c r="J190" s="63"/>
      <c r="K190" s="63"/>
      <c r="L190" s="63"/>
    </row>
    <row r="191" spans="1:12" s="31" customFormat="1" ht="15" customHeight="1">
      <c r="A191" s="56"/>
      <c r="B191" s="56" t="s">
        <v>48</v>
      </c>
      <c r="C191" s="56"/>
      <c r="D191" s="59" t="e">
        <f>(F112-F113)/6</f>
        <v>#VALUE!</v>
      </c>
      <c r="E191" s="60"/>
      <c r="F191" s="61" t="e">
        <f>(20-D191)/20*100</f>
        <v>#VALUE!</v>
      </c>
      <c r="G191" s="61"/>
      <c r="H191" s="61"/>
      <c r="I191" s="62" t="s">
        <v>6</v>
      </c>
      <c r="J191" s="63"/>
      <c r="K191" s="63"/>
      <c r="L191" s="63"/>
    </row>
    <row r="192" spans="1:12" s="31" customFormat="1" ht="15" customHeight="1">
      <c r="A192" s="56"/>
      <c r="B192" s="56" t="s">
        <v>49</v>
      </c>
      <c r="C192" s="56"/>
      <c r="D192" s="59" t="e">
        <f>(F114-F115)/6</f>
        <v>#VALUE!</v>
      </c>
      <c r="E192" s="60"/>
      <c r="F192" s="61" t="e">
        <f>(50-D192)/50*100</f>
        <v>#VALUE!</v>
      </c>
      <c r="G192" s="61"/>
      <c r="H192" s="61"/>
      <c r="I192" s="62" t="s">
        <v>6</v>
      </c>
      <c r="J192" s="63"/>
      <c r="K192" s="63"/>
      <c r="L192" s="63"/>
    </row>
    <row r="193" spans="1:12" s="31" customFormat="1" ht="15" customHeight="1">
      <c r="A193" s="56"/>
      <c r="B193" s="56" t="s">
        <v>50</v>
      </c>
      <c r="C193" s="56"/>
      <c r="D193" s="59" t="e">
        <f>(F116-F117)/6</f>
        <v>#VALUE!</v>
      </c>
      <c r="E193" s="60"/>
      <c r="F193" s="61" t="e">
        <f>(100-D193)/100*100</f>
        <v>#VALUE!</v>
      </c>
      <c r="G193" s="61"/>
      <c r="H193" s="61"/>
      <c r="I193" s="62" t="s">
        <v>6</v>
      </c>
      <c r="J193" s="63"/>
      <c r="K193" s="63"/>
      <c r="L193" s="63"/>
    </row>
    <row r="194" spans="1:12" s="31" customFormat="1" ht="15" customHeight="1">
      <c r="A194" s="56"/>
      <c r="B194" s="56" t="s">
        <v>51</v>
      </c>
      <c r="C194" s="56"/>
      <c r="D194" s="59" t="e">
        <f>(F118-F119)/6</f>
        <v>#VALUE!</v>
      </c>
      <c r="E194" s="60"/>
      <c r="F194" s="61" t="e">
        <f>(200-D194)/200*100</f>
        <v>#VALUE!</v>
      </c>
      <c r="G194" s="61"/>
      <c r="H194" s="61"/>
      <c r="I194" s="62" t="s">
        <v>6</v>
      </c>
      <c r="J194" s="63"/>
      <c r="K194" s="63"/>
      <c r="L194" s="63"/>
    </row>
    <row r="195" spans="1:12" s="31" customFormat="1" ht="15" customHeight="1">
      <c r="A195" s="56"/>
      <c r="B195" s="56" t="s">
        <v>52</v>
      </c>
      <c r="C195" s="56"/>
      <c r="D195" s="59" t="e">
        <f>(F120-F121)/6</f>
        <v>#VALUE!</v>
      </c>
      <c r="E195" s="60"/>
      <c r="F195" s="61" t="e">
        <f>(0.5-D195)/0.5*100</f>
        <v>#VALUE!</v>
      </c>
      <c r="G195" s="61"/>
      <c r="H195" s="61"/>
      <c r="I195" s="62" t="s">
        <v>6</v>
      </c>
      <c r="J195" s="63"/>
      <c r="K195" s="63"/>
      <c r="L195" s="63"/>
    </row>
    <row r="196" spans="1:12" s="31" customFormat="1" ht="15" customHeight="1">
      <c r="A196" s="56"/>
      <c r="B196" s="56" t="s">
        <v>53</v>
      </c>
      <c r="C196" s="56"/>
      <c r="D196" s="59" t="e">
        <f>(F122-F123)/6</f>
        <v>#VALUE!</v>
      </c>
      <c r="E196" s="60"/>
      <c r="F196" s="61" t="e">
        <f>(1-D196)/1*100</f>
        <v>#VALUE!</v>
      </c>
      <c r="G196" s="61"/>
      <c r="H196" s="61"/>
      <c r="I196" s="62" t="s">
        <v>6</v>
      </c>
      <c r="J196" s="63"/>
      <c r="K196" s="63"/>
      <c r="L196" s="63"/>
    </row>
    <row r="197" spans="1:12" s="31" customFormat="1" ht="15" customHeight="1">
      <c r="A197" s="56"/>
      <c r="B197" s="56" t="s">
        <v>54</v>
      </c>
      <c r="C197" s="56"/>
      <c r="D197" s="59" t="e">
        <f>(F124-F125)/6</f>
        <v>#VALUE!</v>
      </c>
      <c r="E197" s="60"/>
      <c r="F197" s="61" t="e">
        <f>(2-D197)/2*100</f>
        <v>#VALUE!</v>
      </c>
      <c r="G197" s="61"/>
      <c r="H197" s="61"/>
      <c r="I197" s="62" t="s">
        <v>6</v>
      </c>
      <c r="J197" s="63"/>
      <c r="K197" s="63"/>
      <c r="L197" s="63"/>
    </row>
    <row r="198" spans="1:12" s="31" customFormat="1" ht="15" customHeight="1">
      <c r="A198" s="56"/>
      <c r="B198" s="56" t="s">
        <v>55</v>
      </c>
      <c r="C198" s="56"/>
      <c r="D198" s="59" t="e">
        <f>(F126-F127)/6</f>
        <v>#VALUE!</v>
      </c>
      <c r="E198" s="60"/>
      <c r="F198" s="61" t="e">
        <f>(5-D198)/5*100</f>
        <v>#VALUE!</v>
      </c>
      <c r="G198" s="61"/>
      <c r="H198" s="61"/>
      <c r="I198" s="62" t="s">
        <v>6</v>
      </c>
      <c r="J198" s="63"/>
      <c r="K198" s="63"/>
      <c r="L198" s="63"/>
    </row>
    <row r="199" spans="1:12" s="31" customFormat="1" ht="15" customHeight="1">
      <c r="A199" s="56"/>
      <c r="B199" s="56" t="s">
        <v>56</v>
      </c>
      <c r="C199" s="56"/>
      <c r="D199" s="59" t="e">
        <f>(F128-F129)/6</f>
        <v>#VALUE!</v>
      </c>
      <c r="E199" s="60"/>
      <c r="F199" s="61" t="e">
        <f>(10-D199)/10*100</f>
        <v>#VALUE!</v>
      </c>
      <c r="G199" s="61"/>
      <c r="H199" s="61"/>
      <c r="I199" s="62" t="s">
        <v>6</v>
      </c>
      <c r="J199" s="63"/>
      <c r="K199" s="63"/>
      <c r="L199" s="63"/>
    </row>
    <row r="200" spans="1:12" s="31" customFormat="1" ht="15" customHeight="1">
      <c r="A200" s="56">
        <v>4</v>
      </c>
      <c r="B200" s="56" t="s">
        <v>44</v>
      </c>
      <c r="C200" s="56"/>
      <c r="D200" s="59" t="e">
        <f>(F130-F131)/6</f>
        <v>#VALUE!</v>
      </c>
      <c r="E200" s="60"/>
      <c r="F200" s="61" t="e">
        <f>(1-D200)/1*100</f>
        <v>#VALUE!</v>
      </c>
      <c r="G200" s="61"/>
      <c r="H200" s="61"/>
      <c r="I200" s="62" t="s">
        <v>141</v>
      </c>
      <c r="J200" s="63"/>
      <c r="K200" s="63"/>
      <c r="L200" s="63"/>
    </row>
    <row r="201" spans="1:12" s="31" customFormat="1" ht="15" customHeight="1">
      <c r="A201" s="56"/>
      <c r="B201" s="56" t="s">
        <v>45</v>
      </c>
      <c r="C201" s="56"/>
      <c r="D201" s="59" t="e">
        <f>(F132-F133)/6</f>
        <v>#VALUE!</v>
      </c>
      <c r="E201" s="60"/>
      <c r="F201" s="61" t="e">
        <f>(2-D201)/2*100</f>
        <v>#VALUE!</v>
      </c>
      <c r="G201" s="61"/>
      <c r="H201" s="61"/>
      <c r="I201" s="62" t="s">
        <v>142</v>
      </c>
      <c r="J201" s="63"/>
      <c r="K201" s="63"/>
      <c r="L201" s="63"/>
    </row>
    <row r="202" spans="1:12" s="31" customFormat="1" ht="15" customHeight="1">
      <c r="A202" s="56"/>
      <c r="B202" s="56" t="s">
        <v>46</v>
      </c>
      <c r="C202" s="56"/>
      <c r="D202" s="59" t="e">
        <f>(F134-F135)/6</f>
        <v>#VALUE!</v>
      </c>
      <c r="E202" s="60"/>
      <c r="F202" s="61" t="e">
        <f>(5-D202)/5*100</f>
        <v>#VALUE!</v>
      </c>
      <c r="G202" s="61"/>
      <c r="H202" s="61"/>
      <c r="I202" s="62" t="s">
        <v>6</v>
      </c>
      <c r="J202" s="63"/>
      <c r="K202" s="63"/>
      <c r="L202" s="63"/>
    </row>
    <row r="203" spans="1:12" s="31" customFormat="1" ht="15" customHeight="1">
      <c r="A203" s="56"/>
      <c r="B203" s="56" t="s">
        <v>47</v>
      </c>
      <c r="C203" s="56"/>
      <c r="D203" s="59" t="e">
        <f>(F136-F137)/6</f>
        <v>#VALUE!</v>
      </c>
      <c r="E203" s="60"/>
      <c r="F203" s="61" t="e">
        <f>(10-D203)/10*100</f>
        <v>#VALUE!</v>
      </c>
      <c r="G203" s="61"/>
      <c r="H203" s="61"/>
      <c r="I203" s="62" t="s">
        <v>6</v>
      </c>
      <c r="J203" s="63"/>
      <c r="K203" s="63"/>
      <c r="L203" s="63"/>
    </row>
    <row r="204" spans="1:12" s="31" customFormat="1" ht="15" customHeight="1">
      <c r="A204" s="56"/>
      <c r="B204" s="56" t="s">
        <v>48</v>
      </c>
      <c r="C204" s="56"/>
      <c r="D204" s="59" t="e">
        <f>(F138-F139)/6</f>
        <v>#VALUE!</v>
      </c>
      <c r="E204" s="60"/>
      <c r="F204" s="61" t="e">
        <f>(20-D204)/20*100</f>
        <v>#VALUE!</v>
      </c>
      <c r="G204" s="61"/>
      <c r="H204" s="61"/>
      <c r="I204" s="62" t="s">
        <v>6</v>
      </c>
      <c r="J204" s="63"/>
      <c r="K204" s="63"/>
      <c r="L204" s="63"/>
    </row>
    <row r="205" spans="1:12" s="31" customFormat="1" ht="15" customHeight="1">
      <c r="A205" s="56"/>
      <c r="B205" s="56" t="s">
        <v>49</v>
      </c>
      <c r="C205" s="56"/>
      <c r="D205" s="59" t="e">
        <f>(F140-F141)/6</f>
        <v>#VALUE!</v>
      </c>
      <c r="E205" s="60"/>
      <c r="F205" s="61" t="e">
        <f>(50-D205)/50*100</f>
        <v>#VALUE!</v>
      </c>
      <c r="G205" s="61"/>
      <c r="H205" s="61"/>
      <c r="I205" s="62" t="s">
        <v>6</v>
      </c>
      <c r="J205" s="63"/>
      <c r="K205" s="63"/>
      <c r="L205" s="63"/>
    </row>
    <row r="206" spans="1:12" s="31" customFormat="1" ht="15" customHeight="1">
      <c r="A206" s="56"/>
      <c r="B206" s="56" t="s">
        <v>50</v>
      </c>
      <c r="C206" s="56"/>
      <c r="D206" s="59" t="e">
        <f>(F142-F143)/6</f>
        <v>#VALUE!</v>
      </c>
      <c r="E206" s="60"/>
      <c r="F206" s="61" t="e">
        <f>(100-D206)/100*100</f>
        <v>#VALUE!</v>
      </c>
      <c r="G206" s="61"/>
      <c r="H206" s="61"/>
      <c r="I206" s="62" t="s">
        <v>6</v>
      </c>
      <c r="J206" s="63"/>
      <c r="K206" s="63"/>
      <c r="L206" s="63"/>
    </row>
    <row r="207" spans="1:12" s="31" customFormat="1" ht="15" customHeight="1">
      <c r="A207" s="56"/>
      <c r="B207" s="56" t="s">
        <v>51</v>
      </c>
      <c r="C207" s="56"/>
      <c r="D207" s="59" t="e">
        <f>(F144-F145)/6</f>
        <v>#VALUE!</v>
      </c>
      <c r="E207" s="60"/>
      <c r="F207" s="61" t="e">
        <f>(200-D207)/200*100</f>
        <v>#VALUE!</v>
      </c>
      <c r="G207" s="61"/>
      <c r="H207" s="61"/>
      <c r="I207" s="62" t="s">
        <v>6</v>
      </c>
      <c r="J207" s="63"/>
      <c r="K207" s="63"/>
      <c r="L207" s="63"/>
    </row>
    <row r="208" spans="1:12" s="31" customFormat="1" ht="15" customHeight="1">
      <c r="A208" s="56"/>
      <c r="B208" s="56" t="s">
        <v>52</v>
      </c>
      <c r="C208" s="56"/>
      <c r="D208" s="59" t="e">
        <f>(F146-F147)/6</f>
        <v>#VALUE!</v>
      </c>
      <c r="E208" s="60"/>
      <c r="F208" s="61" t="e">
        <f>(0.5-D208)/0.5*100</f>
        <v>#VALUE!</v>
      </c>
      <c r="G208" s="61"/>
      <c r="H208" s="61"/>
      <c r="I208" s="62" t="s">
        <v>6</v>
      </c>
      <c r="J208" s="63"/>
      <c r="K208" s="63"/>
      <c r="L208" s="63"/>
    </row>
    <row r="209" spans="1:13" s="31" customFormat="1" ht="15" customHeight="1">
      <c r="A209" s="56"/>
      <c r="B209" s="56" t="s">
        <v>53</v>
      </c>
      <c r="C209" s="56"/>
      <c r="D209" s="59" t="e">
        <f>(F148-F149)/6</f>
        <v>#VALUE!</v>
      </c>
      <c r="E209" s="60"/>
      <c r="F209" s="61" t="e">
        <f>(1-D209)/1*100</f>
        <v>#VALUE!</v>
      </c>
      <c r="G209" s="61"/>
      <c r="H209" s="61"/>
      <c r="I209" s="62" t="s">
        <v>6</v>
      </c>
      <c r="J209" s="63"/>
      <c r="K209" s="63"/>
      <c r="L209" s="63"/>
    </row>
    <row r="210" spans="1:13" s="31" customFormat="1" ht="15" customHeight="1">
      <c r="A210" s="56"/>
      <c r="B210" s="56" t="s">
        <v>54</v>
      </c>
      <c r="C210" s="56"/>
      <c r="D210" s="59" t="e">
        <f>(F150-F151)/6</f>
        <v>#VALUE!</v>
      </c>
      <c r="E210" s="60"/>
      <c r="F210" s="61" t="e">
        <f>(2-D210)/2*100</f>
        <v>#VALUE!</v>
      </c>
      <c r="G210" s="61"/>
      <c r="H210" s="61"/>
      <c r="I210" s="62" t="s">
        <v>6</v>
      </c>
      <c r="J210" s="63"/>
      <c r="K210" s="63"/>
      <c r="L210" s="63"/>
    </row>
    <row r="211" spans="1:13" s="31" customFormat="1" ht="15" customHeight="1">
      <c r="A211" s="56"/>
      <c r="B211" s="56" t="s">
        <v>55</v>
      </c>
      <c r="C211" s="56"/>
      <c r="D211" s="59" t="e">
        <f>(F152-F153)/6</f>
        <v>#VALUE!</v>
      </c>
      <c r="E211" s="60"/>
      <c r="F211" s="61" t="e">
        <f>(5-D211)/5*100</f>
        <v>#VALUE!</v>
      </c>
      <c r="G211" s="61"/>
      <c r="H211" s="61"/>
      <c r="I211" s="62" t="s">
        <v>6</v>
      </c>
      <c r="J211" s="63"/>
      <c r="K211" s="63"/>
      <c r="L211" s="63"/>
    </row>
    <row r="212" spans="1:13" s="31" customFormat="1" ht="15" customHeight="1">
      <c r="A212" s="56"/>
      <c r="B212" s="56" t="s">
        <v>56</v>
      </c>
      <c r="C212" s="56"/>
      <c r="D212" s="59" t="e">
        <f>(F154-F155)/6</f>
        <v>#VALUE!</v>
      </c>
      <c r="E212" s="60"/>
      <c r="F212" s="61" t="e">
        <f>(10-D212)/10*100</f>
        <v>#VALUE!</v>
      </c>
      <c r="G212" s="61"/>
      <c r="H212" s="61"/>
      <c r="I212" s="62" t="s">
        <v>6</v>
      </c>
      <c r="J212" s="63"/>
      <c r="K212" s="63"/>
      <c r="L212" s="63"/>
    </row>
    <row r="213" spans="1:13" s="31" customFormat="1" ht="13.5">
      <c r="A213" s="14" t="s">
        <v>143</v>
      </c>
      <c r="B213" s="29"/>
      <c r="C213" s="29"/>
      <c r="D213" s="16"/>
      <c r="E213" s="34"/>
      <c r="F213" s="34"/>
      <c r="G213" s="34"/>
      <c r="H213" s="34"/>
      <c r="I213" s="35"/>
      <c r="J213" s="35"/>
      <c r="K213" s="29"/>
      <c r="L213" s="32"/>
    </row>
    <row r="214" spans="1:13" s="31" customFormat="1" ht="5.25" customHeight="1">
      <c r="A214" s="29"/>
      <c r="B214" s="29"/>
      <c r="C214" s="29"/>
      <c r="D214" s="16"/>
      <c r="E214" s="34"/>
      <c r="F214" s="34"/>
      <c r="G214" s="34"/>
      <c r="H214" s="34"/>
      <c r="I214" s="35"/>
      <c r="J214" s="35"/>
      <c r="K214" s="29"/>
      <c r="L214" s="32"/>
    </row>
    <row r="215" spans="1:13" s="33" customFormat="1" ht="36.75" customHeight="1">
      <c r="A215" s="57" t="s">
        <v>5</v>
      </c>
      <c r="B215" s="58" t="s">
        <v>38</v>
      </c>
      <c r="C215" s="58"/>
      <c r="D215" s="80" t="s">
        <v>144</v>
      </c>
      <c r="E215" s="82" t="s">
        <v>39</v>
      </c>
      <c r="F215" s="83"/>
      <c r="G215" s="86" t="s">
        <v>145</v>
      </c>
      <c r="H215" s="86"/>
      <c r="I215" s="57" t="s">
        <v>146</v>
      </c>
      <c r="J215" s="57"/>
      <c r="K215" s="57"/>
      <c r="L215" s="57"/>
      <c r="M215" s="28"/>
    </row>
    <row r="216" spans="1:13" s="33" customFormat="1" ht="39.75" customHeight="1">
      <c r="A216" s="57"/>
      <c r="B216" s="58"/>
      <c r="C216" s="58"/>
      <c r="D216" s="81"/>
      <c r="E216" s="84"/>
      <c r="F216" s="85"/>
      <c r="G216" s="86"/>
      <c r="H216" s="86"/>
      <c r="I216" s="57" t="s">
        <v>42</v>
      </c>
      <c r="J216" s="57"/>
      <c r="K216" s="57" t="s">
        <v>43</v>
      </c>
      <c r="L216" s="57"/>
      <c r="M216" s="28"/>
    </row>
    <row r="217" spans="1:13" s="31" customFormat="1" ht="14.25" customHeight="1">
      <c r="A217" s="54">
        <v>1</v>
      </c>
      <c r="B217" s="50" t="s">
        <v>47</v>
      </c>
      <c r="C217" s="51"/>
      <c r="D217" s="36" t="s">
        <v>147</v>
      </c>
      <c r="E217" s="45" t="s">
        <v>148</v>
      </c>
      <c r="F217" s="46"/>
      <c r="G217" s="47" t="s">
        <v>348</v>
      </c>
      <c r="H217" s="48"/>
      <c r="I217" s="49" t="s">
        <v>157</v>
      </c>
      <c r="J217" s="49"/>
      <c r="K217" s="44" t="s">
        <v>169</v>
      </c>
      <c r="L217" s="44"/>
    </row>
    <row r="218" spans="1:13" s="31" customFormat="1" ht="14.25" customHeight="1">
      <c r="A218" s="54"/>
      <c r="B218" s="52"/>
      <c r="C218" s="53"/>
      <c r="D218" s="36" t="s">
        <v>148</v>
      </c>
      <c r="E218" s="45" t="s">
        <v>147</v>
      </c>
      <c r="F218" s="46"/>
      <c r="G218" s="47" t="s">
        <v>349</v>
      </c>
      <c r="H218" s="48"/>
      <c r="I218" s="49" t="s">
        <v>158</v>
      </c>
      <c r="J218" s="49"/>
      <c r="K218" s="44" t="s">
        <v>170</v>
      </c>
      <c r="L218" s="44"/>
    </row>
    <row r="219" spans="1:13" s="31" customFormat="1" ht="14.25" customHeight="1">
      <c r="A219" s="54"/>
      <c r="B219" s="50" t="s">
        <v>50</v>
      </c>
      <c r="C219" s="51"/>
      <c r="D219" s="36" t="s">
        <v>149</v>
      </c>
      <c r="E219" s="45" t="s">
        <v>150</v>
      </c>
      <c r="F219" s="46"/>
      <c r="G219" s="47" t="s">
        <v>350</v>
      </c>
      <c r="H219" s="48"/>
      <c r="I219" s="49" t="s">
        <v>159</v>
      </c>
      <c r="J219" s="49"/>
      <c r="K219" s="44" t="s">
        <v>171</v>
      </c>
      <c r="L219" s="44"/>
    </row>
    <row r="220" spans="1:13" s="31" customFormat="1" ht="14.25" customHeight="1">
      <c r="A220" s="54"/>
      <c r="B220" s="52"/>
      <c r="C220" s="53"/>
      <c r="D220" s="36" t="s">
        <v>150</v>
      </c>
      <c r="E220" s="45" t="s">
        <v>149</v>
      </c>
      <c r="F220" s="46"/>
      <c r="G220" s="47" t="s">
        <v>351</v>
      </c>
      <c r="H220" s="48"/>
      <c r="I220" s="49" t="s">
        <v>160</v>
      </c>
      <c r="J220" s="49"/>
      <c r="K220" s="44" t="s">
        <v>172</v>
      </c>
      <c r="L220" s="44"/>
    </row>
    <row r="221" spans="1:13" s="31" customFormat="1" ht="14.25" customHeight="1">
      <c r="A221" s="54"/>
      <c r="B221" s="50" t="s">
        <v>51</v>
      </c>
      <c r="C221" s="51"/>
      <c r="D221" s="36" t="s">
        <v>81</v>
      </c>
      <c r="E221" s="45" t="s">
        <v>82</v>
      </c>
      <c r="F221" s="46"/>
      <c r="G221" s="47" t="s">
        <v>352</v>
      </c>
      <c r="H221" s="48"/>
      <c r="I221" s="49" t="s">
        <v>161</v>
      </c>
      <c r="J221" s="49"/>
      <c r="K221" s="44" t="s">
        <v>173</v>
      </c>
      <c r="L221" s="44"/>
    </row>
    <row r="222" spans="1:13" s="31" customFormat="1" ht="14.25" customHeight="1">
      <c r="A222" s="54"/>
      <c r="B222" s="52"/>
      <c r="C222" s="53"/>
      <c r="D222" s="36" t="s">
        <v>82</v>
      </c>
      <c r="E222" s="45" t="s">
        <v>81</v>
      </c>
      <c r="F222" s="46"/>
      <c r="G222" s="47" t="s">
        <v>353</v>
      </c>
      <c r="H222" s="48"/>
      <c r="I222" s="49" t="s">
        <v>162</v>
      </c>
      <c r="J222" s="49"/>
      <c r="K222" s="44" t="s">
        <v>174</v>
      </c>
      <c r="L222" s="44"/>
    </row>
    <row r="223" spans="1:13" s="31" customFormat="1" ht="14.25" customHeight="1">
      <c r="A223" s="54"/>
      <c r="B223" s="50" t="s">
        <v>52</v>
      </c>
      <c r="C223" s="51"/>
      <c r="D223" s="36" t="s">
        <v>151</v>
      </c>
      <c r="E223" s="45" t="s">
        <v>152</v>
      </c>
      <c r="F223" s="46"/>
      <c r="G223" s="47" t="s">
        <v>354</v>
      </c>
      <c r="H223" s="48"/>
      <c r="I223" s="49" t="s">
        <v>163</v>
      </c>
      <c r="J223" s="49"/>
      <c r="K223" s="44" t="s">
        <v>175</v>
      </c>
      <c r="L223" s="44"/>
    </row>
    <row r="224" spans="1:13" s="31" customFormat="1" ht="14.25" customHeight="1">
      <c r="A224" s="54"/>
      <c r="B224" s="52"/>
      <c r="C224" s="53"/>
      <c r="D224" s="36" t="s">
        <v>152</v>
      </c>
      <c r="E224" s="45" t="s">
        <v>151</v>
      </c>
      <c r="F224" s="46"/>
      <c r="G224" s="47" t="s">
        <v>355</v>
      </c>
      <c r="H224" s="48"/>
      <c r="I224" s="49" t="s">
        <v>164</v>
      </c>
      <c r="J224" s="49"/>
      <c r="K224" s="44" t="s">
        <v>176</v>
      </c>
      <c r="L224" s="44"/>
    </row>
    <row r="225" spans="1:12" s="31" customFormat="1" ht="14.25" customHeight="1">
      <c r="A225" s="54"/>
      <c r="B225" s="50" t="s">
        <v>53</v>
      </c>
      <c r="C225" s="51"/>
      <c r="D225" s="36" t="s">
        <v>153</v>
      </c>
      <c r="E225" s="45" t="s">
        <v>154</v>
      </c>
      <c r="F225" s="46"/>
      <c r="G225" s="47" t="s">
        <v>356</v>
      </c>
      <c r="H225" s="48"/>
      <c r="I225" s="49" t="s">
        <v>165</v>
      </c>
      <c r="J225" s="49"/>
      <c r="K225" s="44" t="s">
        <v>177</v>
      </c>
      <c r="L225" s="44"/>
    </row>
    <row r="226" spans="1:12" s="31" customFormat="1" ht="14.25" customHeight="1">
      <c r="A226" s="54"/>
      <c r="B226" s="52"/>
      <c r="C226" s="53"/>
      <c r="D226" s="36" t="s">
        <v>154</v>
      </c>
      <c r="E226" s="45" t="s">
        <v>153</v>
      </c>
      <c r="F226" s="46"/>
      <c r="G226" s="47" t="s">
        <v>357</v>
      </c>
      <c r="H226" s="48"/>
      <c r="I226" s="49" t="s">
        <v>166</v>
      </c>
      <c r="J226" s="49"/>
      <c r="K226" s="44" t="s">
        <v>178</v>
      </c>
      <c r="L226" s="44"/>
    </row>
    <row r="227" spans="1:12" s="31" customFormat="1" ht="14.25" customHeight="1">
      <c r="A227" s="54"/>
      <c r="B227" s="50" t="s">
        <v>56</v>
      </c>
      <c r="C227" s="51"/>
      <c r="D227" s="36" t="s">
        <v>155</v>
      </c>
      <c r="E227" s="45" t="s">
        <v>156</v>
      </c>
      <c r="F227" s="46"/>
      <c r="G227" s="47" t="s">
        <v>358</v>
      </c>
      <c r="H227" s="48"/>
      <c r="I227" s="49" t="s">
        <v>167</v>
      </c>
      <c r="J227" s="49"/>
      <c r="K227" s="44" t="s">
        <v>179</v>
      </c>
      <c r="L227" s="44"/>
    </row>
    <row r="228" spans="1:12" s="31" customFormat="1" ht="14.25" customHeight="1">
      <c r="A228" s="55"/>
      <c r="B228" s="52"/>
      <c r="C228" s="53"/>
      <c r="D228" s="36" t="s">
        <v>156</v>
      </c>
      <c r="E228" s="45" t="s">
        <v>155</v>
      </c>
      <c r="F228" s="46"/>
      <c r="G228" s="47" t="s">
        <v>359</v>
      </c>
      <c r="H228" s="48"/>
      <c r="I228" s="49" t="s">
        <v>168</v>
      </c>
      <c r="J228" s="49"/>
      <c r="K228" s="44" t="s">
        <v>180</v>
      </c>
      <c r="L228" s="44"/>
    </row>
    <row r="229" spans="1:12" s="31" customFormat="1" ht="14.25" customHeight="1">
      <c r="A229" s="54">
        <v>2</v>
      </c>
      <c r="B229" s="50" t="s">
        <v>47</v>
      </c>
      <c r="C229" s="51"/>
      <c r="D229" s="36" t="s">
        <v>147</v>
      </c>
      <c r="E229" s="45" t="s">
        <v>148</v>
      </c>
      <c r="F229" s="46"/>
      <c r="G229" s="47" t="s">
        <v>360</v>
      </c>
      <c r="H229" s="48"/>
      <c r="I229" s="49" t="s">
        <v>157</v>
      </c>
      <c r="J229" s="49"/>
      <c r="K229" s="44" t="s">
        <v>169</v>
      </c>
      <c r="L229" s="44"/>
    </row>
    <row r="230" spans="1:12" s="31" customFormat="1" ht="14.25" customHeight="1">
      <c r="A230" s="54"/>
      <c r="B230" s="52"/>
      <c r="C230" s="53"/>
      <c r="D230" s="36" t="s">
        <v>148</v>
      </c>
      <c r="E230" s="45" t="s">
        <v>147</v>
      </c>
      <c r="F230" s="46"/>
      <c r="G230" s="47" t="s">
        <v>361</v>
      </c>
      <c r="H230" s="48"/>
      <c r="I230" s="49" t="s">
        <v>158</v>
      </c>
      <c r="J230" s="49"/>
      <c r="K230" s="44" t="s">
        <v>170</v>
      </c>
      <c r="L230" s="44"/>
    </row>
    <row r="231" spans="1:12" s="31" customFormat="1" ht="14.25" customHeight="1">
      <c r="A231" s="54"/>
      <c r="B231" s="50" t="s">
        <v>50</v>
      </c>
      <c r="C231" s="51"/>
      <c r="D231" s="36" t="s">
        <v>149</v>
      </c>
      <c r="E231" s="45" t="s">
        <v>150</v>
      </c>
      <c r="F231" s="46"/>
      <c r="G231" s="47" t="s">
        <v>362</v>
      </c>
      <c r="H231" s="48"/>
      <c r="I231" s="49" t="s">
        <v>159</v>
      </c>
      <c r="J231" s="49"/>
      <c r="K231" s="44" t="s">
        <v>171</v>
      </c>
      <c r="L231" s="44"/>
    </row>
    <row r="232" spans="1:12" s="31" customFormat="1" ht="14.25" customHeight="1">
      <c r="A232" s="54"/>
      <c r="B232" s="52"/>
      <c r="C232" s="53"/>
      <c r="D232" s="36" t="s">
        <v>150</v>
      </c>
      <c r="E232" s="45" t="s">
        <v>149</v>
      </c>
      <c r="F232" s="46"/>
      <c r="G232" s="47" t="s">
        <v>363</v>
      </c>
      <c r="H232" s="48"/>
      <c r="I232" s="49" t="s">
        <v>160</v>
      </c>
      <c r="J232" s="49"/>
      <c r="K232" s="44" t="s">
        <v>172</v>
      </c>
      <c r="L232" s="44"/>
    </row>
    <row r="233" spans="1:12" s="31" customFormat="1" ht="14.25" customHeight="1">
      <c r="A233" s="54"/>
      <c r="B233" s="50" t="s">
        <v>51</v>
      </c>
      <c r="C233" s="51"/>
      <c r="D233" s="36" t="s">
        <v>81</v>
      </c>
      <c r="E233" s="45" t="s">
        <v>82</v>
      </c>
      <c r="F233" s="46"/>
      <c r="G233" s="47" t="s">
        <v>364</v>
      </c>
      <c r="H233" s="48"/>
      <c r="I233" s="49" t="s">
        <v>161</v>
      </c>
      <c r="J233" s="49"/>
      <c r="K233" s="44" t="s">
        <v>173</v>
      </c>
      <c r="L233" s="44"/>
    </row>
    <row r="234" spans="1:12" s="31" customFormat="1" ht="14.25" customHeight="1">
      <c r="A234" s="54"/>
      <c r="B234" s="52"/>
      <c r="C234" s="53"/>
      <c r="D234" s="36" t="s">
        <v>82</v>
      </c>
      <c r="E234" s="45" t="s">
        <v>81</v>
      </c>
      <c r="F234" s="46"/>
      <c r="G234" s="47" t="s">
        <v>365</v>
      </c>
      <c r="H234" s="48"/>
      <c r="I234" s="49" t="s">
        <v>162</v>
      </c>
      <c r="J234" s="49"/>
      <c r="K234" s="44" t="s">
        <v>174</v>
      </c>
      <c r="L234" s="44"/>
    </row>
    <row r="235" spans="1:12" s="31" customFormat="1" ht="14.25" customHeight="1">
      <c r="A235" s="54"/>
      <c r="B235" s="50" t="s">
        <v>52</v>
      </c>
      <c r="C235" s="51"/>
      <c r="D235" s="36" t="s">
        <v>151</v>
      </c>
      <c r="E235" s="45" t="s">
        <v>152</v>
      </c>
      <c r="F235" s="46"/>
      <c r="G235" s="47" t="s">
        <v>366</v>
      </c>
      <c r="H235" s="48"/>
      <c r="I235" s="49" t="s">
        <v>163</v>
      </c>
      <c r="J235" s="49"/>
      <c r="K235" s="44" t="s">
        <v>175</v>
      </c>
      <c r="L235" s="44"/>
    </row>
    <row r="236" spans="1:12" s="31" customFormat="1" ht="14.25" customHeight="1">
      <c r="A236" s="54"/>
      <c r="B236" s="52"/>
      <c r="C236" s="53"/>
      <c r="D236" s="36" t="s">
        <v>152</v>
      </c>
      <c r="E236" s="45" t="s">
        <v>151</v>
      </c>
      <c r="F236" s="46"/>
      <c r="G236" s="47" t="s">
        <v>367</v>
      </c>
      <c r="H236" s="48"/>
      <c r="I236" s="49" t="s">
        <v>164</v>
      </c>
      <c r="J236" s="49"/>
      <c r="K236" s="44" t="s">
        <v>176</v>
      </c>
      <c r="L236" s="44"/>
    </row>
    <row r="237" spans="1:12" s="31" customFormat="1" ht="14.25" customHeight="1">
      <c r="A237" s="54"/>
      <c r="B237" s="50" t="s">
        <v>53</v>
      </c>
      <c r="C237" s="51"/>
      <c r="D237" s="36" t="s">
        <v>153</v>
      </c>
      <c r="E237" s="45" t="s">
        <v>154</v>
      </c>
      <c r="F237" s="46"/>
      <c r="G237" s="47" t="s">
        <v>368</v>
      </c>
      <c r="H237" s="48"/>
      <c r="I237" s="49" t="s">
        <v>165</v>
      </c>
      <c r="J237" s="49"/>
      <c r="K237" s="44" t="s">
        <v>177</v>
      </c>
      <c r="L237" s="44"/>
    </row>
    <row r="238" spans="1:12" s="31" customFormat="1" ht="14.25" customHeight="1">
      <c r="A238" s="54"/>
      <c r="B238" s="52"/>
      <c r="C238" s="53"/>
      <c r="D238" s="36" t="s">
        <v>154</v>
      </c>
      <c r="E238" s="45" t="s">
        <v>153</v>
      </c>
      <c r="F238" s="46"/>
      <c r="G238" s="47" t="s">
        <v>369</v>
      </c>
      <c r="H238" s="48"/>
      <c r="I238" s="49" t="s">
        <v>166</v>
      </c>
      <c r="J238" s="49"/>
      <c r="K238" s="44" t="s">
        <v>178</v>
      </c>
      <c r="L238" s="44"/>
    </row>
    <row r="239" spans="1:12" s="31" customFormat="1" ht="14.25" customHeight="1">
      <c r="A239" s="54"/>
      <c r="B239" s="50" t="s">
        <v>56</v>
      </c>
      <c r="C239" s="51"/>
      <c r="D239" s="36" t="s">
        <v>155</v>
      </c>
      <c r="E239" s="45" t="s">
        <v>156</v>
      </c>
      <c r="F239" s="46"/>
      <c r="G239" s="47" t="s">
        <v>370</v>
      </c>
      <c r="H239" s="48"/>
      <c r="I239" s="49" t="s">
        <v>167</v>
      </c>
      <c r="J239" s="49"/>
      <c r="K239" s="44" t="s">
        <v>179</v>
      </c>
      <c r="L239" s="44"/>
    </row>
    <row r="240" spans="1:12" s="31" customFormat="1" ht="14.25" customHeight="1">
      <c r="A240" s="55"/>
      <c r="B240" s="52"/>
      <c r="C240" s="53"/>
      <c r="D240" s="36" t="s">
        <v>156</v>
      </c>
      <c r="E240" s="45" t="s">
        <v>155</v>
      </c>
      <c r="F240" s="46"/>
      <c r="G240" s="47" t="s">
        <v>371</v>
      </c>
      <c r="H240" s="48"/>
      <c r="I240" s="49" t="s">
        <v>168</v>
      </c>
      <c r="J240" s="49"/>
      <c r="K240" s="44" t="s">
        <v>180</v>
      </c>
      <c r="L240" s="44"/>
    </row>
    <row r="241" spans="1:12" s="31" customFormat="1" ht="14.25" customHeight="1">
      <c r="A241" s="54">
        <v>3</v>
      </c>
      <c r="B241" s="50" t="s">
        <v>47</v>
      </c>
      <c r="C241" s="51"/>
      <c r="D241" s="36" t="s">
        <v>147</v>
      </c>
      <c r="E241" s="45" t="s">
        <v>148</v>
      </c>
      <c r="F241" s="46"/>
      <c r="G241" s="47" t="s">
        <v>372</v>
      </c>
      <c r="H241" s="48"/>
      <c r="I241" s="49" t="s">
        <v>157</v>
      </c>
      <c r="J241" s="49"/>
      <c r="K241" s="44" t="s">
        <v>169</v>
      </c>
      <c r="L241" s="44"/>
    </row>
    <row r="242" spans="1:12" s="31" customFormat="1" ht="14.25" customHeight="1">
      <c r="A242" s="54"/>
      <c r="B242" s="52"/>
      <c r="C242" s="53"/>
      <c r="D242" s="36" t="s">
        <v>148</v>
      </c>
      <c r="E242" s="45" t="s">
        <v>147</v>
      </c>
      <c r="F242" s="46"/>
      <c r="G242" s="47" t="s">
        <v>373</v>
      </c>
      <c r="H242" s="48"/>
      <c r="I242" s="49" t="s">
        <v>158</v>
      </c>
      <c r="J242" s="49"/>
      <c r="K242" s="44" t="s">
        <v>170</v>
      </c>
      <c r="L242" s="44"/>
    </row>
    <row r="243" spans="1:12" s="31" customFormat="1" ht="14.25" customHeight="1">
      <c r="A243" s="54"/>
      <c r="B243" s="50" t="s">
        <v>50</v>
      </c>
      <c r="C243" s="51"/>
      <c r="D243" s="36" t="s">
        <v>149</v>
      </c>
      <c r="E243" s="45" t="s">
        <v>150</v>
      </c>
      <c r="F243" s="46"/>
      <c r="G243" s="47" t="s">
        <v>374</v>
      </c>
      <c r="H243" s="48"/>
      <c r="I243" s="49" t="s">
        <v>159</v>
      </c>
      <c r="J243" s="49"/>
      <c r="K243" s="44" t="s">
        <v>171</v>
      </c>
      <c r="L243" s="44"/>
    </row>
    <row r="244" spans="1:12" s="31" customFormat="1" ht="14.25" customHeight="1">
      <c r="A244" s="54"/>
      <c r="B244" s="52"/>
      <c r="C244" s="53"/>
      <c r="D244" s="36" t="s">
        <v>150</v>
      </c>
      <c r="E244" s="45" t="s">
        <v>149</v>
      </c>
      <c r="F244" s="46"/>
      <c r="G244" s="47" t="s">
        <v>375</v>
      </c>
      <c r="H244" s="48"/>
      <c r="I244" s="49" t="s">
        <v>160</v>
      </c>
      <c r="J244" s="49"/>
      <c r="K244" s="44" t="s">
        <v>172</v>
      </c>
      <c r="L244" s="44"/>
    </row>
    <row r="245" spans="1:12" s="31" customFormat="1" ht="14.25" customHeight="1">
      <c r="A245" s="54"/>
      <c r="B245" s="50" t="s">
        <v>51</v>
      </c>
      <c r="C245" s="51"/>
      <c r="D245" s="36" t="s">
        <v>81</v>
      </c>
      <c r="E245" s="45" t="s">
        <v>82</v>
      </c>
      <c r="F245" s="46"/>
      <c r="G245" s="47" t="s">
        <v>376</v>
      </c>
      <c r="H245" s="48"/>
      <c r="I245" s="49" t="s">
        <v>161</v>
      </c>
      <c r="J245" s="49"/>
      <c r="K245" s="44" t="s">
        <v>173</v>
      </c>
      <c r="L245" s="44"/>
    </row>
    <row r="246" spans="1:12" s="31" customFormat="1" ht="14.25" customHeight="1">
      <c r="A246" s="54"/>
      <c r="B246" s="52"/>
      <c r="C246" s="53"/>
      <c r="D246" s="36" t="s">
        <v>82</v>
      </c>
      <c r="E246" s="45" t="s">
        <v>81</v>
      </c>
      <c r="F246" s="46"/>
      <c r="G246" s="47" t="s">
        <v>377</v>
      </c>
      <c r="H246" s="48"/>
      <c r="I246" s="49" t="s">
        <v>162</v>
      </c>
      <c r="J246" s="49"/>
      <c r="K246" s="44" t="s">
        <v>174</v>
      </c>
      <c r="L246" s="44"/>
    </row>
    <row r="247" spans="1:12" s="31" customFormat="1" ht="14.25" customHeight="1">
      <c r="A247" s="54"/>
      <c r="B247" s="50" t="s">
        <v>52</v>
      </c>
      <c r="C247" s="51"/>
      <c r="D247" s="36" t="s">
        <v>151</v>
      </c>
      <c r="E247" s="45" t="s">
        <v>152</v>
      </c>
      <c r="F247" s="46"/>
      <c r="G247" s="47" t="s">
        <v>378</v>
      </c>
      <c r="H247" s="48"/>
      <c r="I247" s="49" t="s">
        <v>163</v>
      </c>
      <c r="J247" s="49"/>
      <c r="K247" s="44" t="s">
        <v>175</v>
      </c>
      <c r="L247" s="44"/>
    </row>
    <row r="248" spans="1:12" s="31" customFormat="1" ht="14.25" customHeight="1">
      <c r="A248" s="54"/>
      <c r="B248" s="52"/>
      <c r="C248" s="53"/>
      <c r="D248" s="36" t="s">
        <v>152</v>
      </c>
      <c r="E248" s="45" t="s">
        <v>151</v>
      </c>
      <c r="F248" s="46"/>
      <c r="G248" s="47" t="s">
        <v>379</v>
      </c>
      <c r="H248" s="48"/>
      <c r="I248" s="49" t="s">
        <v>164</v>
      </c>
      <c r="J248" s="49"/>
      <c r="K248" s="44" t="s">
        <v>176</v>
      </c>
      <c r="L248" s="44"/>
    </row>
    <row r="249" spans="1:12" s="31" customFormat="1" ht="14.25" customHeight="1">
      <c r="A249" s="54"/>
      <c r="B249" s="50" t="s">
        <v>53</v>
      </c>
      <c r="C249" s="51"/>
      <c r="D249" s="36" t="s">
        <v>153</v>
      </c>
      <c r="E249" s="45" t="s">
        <v>154</v>
      </c>
      <c r="F249" s="46"/>
      <c r="G249" s="47" t="s">
        <v>380</v>
      </c>
      <c r="H249" s="48"/>
      <c r="I249" s="49" t="s">
        <v>165</v>
      </c>
      <c r="J249" s="49"/>
      <c r="K249" s="44" t="s">
        <v>177</v>
      </c>
      <c r="L249" s="44"/>
    </row>
    <row r="250" spans="1:12" s="31" customFormat="1" ht="14.25" customHeight="1">
      <c r="A250" s="54"/>
      <c r="B250" s="52"/>
      <c r="C250" s="53"/>
      <c r="D250" s="36" t="s">
        <v>154</v>
      </c>
      <c r="E250" s="45" t="s">
        <v>153</v>
      </c>
      <c r="F250" s="46"/>
      <c r="G250" s="47" t="s">
        <v>381</v>
      </c>
      <c r="H250" s="48"/>
      <c r="I250" s="49" t="s">
        <v>166</v>
      </c>
      <c r="J250" s="49"/>
      <c r="K250" s="44" t="s">
        <v>178</v>
      </c>
      <c r="L250" s="44"/>
    </row>
    <row r="251" spans="1:12" s="31" customFormat="1" ht="14.25" customHeight="1">
      <c r="A251" s="54"/>
      <c r="B251" s="50" t="s">
        <v>56</v>
      </c>
      <c r="C251" s="51"/>
      <c r="D251" s="36" t="s">
        <v>155</v>
      </c>
      <c r="E251" s="45" t="s">
        <v>156</v>
      </c>
      <c r="F251" s="46"/>
      <c r="G251" s="47" t="s">
        <v>382</v>
      </c>
      <c r="H251" s="48"/>
      <c r="I251" s="49" t="s">
        <v>167</v>
      </c>
      <c r="J251" s="49"/>
      <c r="K251" s="44" t="s">
        <v>179</v>
      </c>
      <c r="L251" s="44"/>
    </row>
    <row r="252" spans="1:12" s="31" customFormat="1" ht="14.25" customHeight="1">
      <c r="A252" s="55"/>
      <c r="B252" s="52"/>
      <c r="C252" s="53"/>
      <c r="D252" s="36" t="s">
        <v>156</v>
      </c>
      <c r="E252" s="45" t="s">
        <v>155</v>
      </c>
      <c r="F252" s="46"/>
      <c r="G252" s="47" t="s">
        <v>383</v>
      </c>
      <c r="H252" s="48"/>
      <c r="I252" s="49" t="s">
        <v>168</v>
      </c>
      <c r="J252" s="49"/>
      <c r="K252" s="44" t="s">
        <v>180</v>
      </c>
      <c r="L252" s="44"/>
    </row>
    <row r="253" spans="1:12" s="31" customFormat="1" ht="14.25" customHeight="1">
      <c r="A253" s="54">
        <v>4</v>
      </c>
      <c r="B253" s="50" t="s">
        <v>47</v>
      </c>
      <c r="C253" s="51"/>
      <c r="D253" s="36" t="s">
        <v>147</v>
      </c>
      <c r="E253" s="45" t="s">
        <v>148</v>
      </c>
      <c r="F253" s="46"/>
      <c r="G253" s="47" t="s">
        <v>384</v>
      </c>
      <c r="H253" s="48"/>
      <c r="I253" s="49" t="s">
        <v>157</v>
      </c>
      <c r="J253" s="49"/>
      <c r="K253" s="44" t="s">
        <v>169</v>
      </c>
      <c r="L253" s="44"/>
    </row>
    <row r="254" spans="1:12" s="31" customFormat="1" ht="14.25" customHeight="1">
      <c r="A254" s="54"/>
      <c r="B254" s="52"/>
      <c r="C254" s="53"/>
      <c r="D254" s="36" t="s">
        <v>148</v>
      </c>
      <c r="E254" s="45" t="s">
        <v>147</v>
      </c>
      <c r="F254" s="46"/>
      <c r="G254" s="47" t="s">
        <v>385</v>
      </c>
      <c r="H254" s="48"/>
      <c r="I254" s="49" t="s">
        <v>158</v>
      </c>
      <c r="J254" s="49"/>
      <c r="K254" s="44" t="s">
        <v>170</v>
      </c>
      <c r="L254" s="44"/>
    </row>
    <row r="255" spans="1:12" s="31" customFormat="1" ht="14.25" customHeight="1">
      <c r="A255" s="54"/>
      <c r="B255" s="50" t="s">
        <v>50</v>
      </c>
      <c r="C255" s="51"/>
      <c r="D255" s="36" t="s">
        <v>149</v>
      </c>
      <c r="E255" s="45" t="s">
        <v>150</v>
      </c>
      <c r="F255" s="46"/>
      <c r="G255" s="47" t="s">
        <v>386</v>
      </c>
      <c r="H255" s="48"/>
      <c r="I255" s="49" t="s">
        <v>159</v>
      </c>
      <c r="J255" s="49"/>
      <c r="K255" s="44" t="s">
        <v>171</v>
      </c>
      <c r="L255" s="44"/>
    </row>
    <row r="256" spans="1:12" s="31" customFormat="1" ht="14.25" customHeight="1">
      <c r="A256" s="54"/>
      <c r="B256" s="52"/>
      <c r="C256" s="53"/>
      <c r="D256" s="36" t="s">
        <v>150</v>
      </c>
      <c r="E256" s="45" t="s">
        <v>149</v>
      </c>
      <c r="F256" s="46"/>
      <c r="G256" s="47" t="s">
        <v>387</v>
      </c>
      <c r="H256" s="48"/>
      <c r="I256" s="49" t="s">
        <v>160</v>
      </c>
      <c r="J256" s="49"/>
      <c r="K256" s="44" t="s">
        <v>172</v>
      </c>
      <c r="L256" s="44"/>
    </row>
    <row r="257" spans="1:13" s="31" customFormat="1" ht="14.25" customHeight="1">
      <c r="A257" s="54"/>
      <c r="B257" s="50" t="s">
        <v>51</v>
      </c>
      <c r="C257" s="51"/>
      <c r="D257" s="36" t="s">
        <v>81</v>
      </c>
      <c r="E257" s="45" t="s">
        <v>82</v>
      </c>
      <c r="F257" s="46"/>
      <c r="G257" s="47" t="s">
        <v>388</v>
      </c>
      <c r="H257" s="48"/>
      <c r="I257" s="49" t="s">
        <v>161</v>
      </c>
      <c r="J257" s="49"/>
      <c r="K257" s="44" t="s">
        <v>173</v>
      </c>
      <c r="L257" s="44"/>
    </row>
    <row r="258" spans="1:13" s="31" customFormat="1" ht="14.25" customHeight="1">
      <c r="A258" s="54"/>
      <c r="B258" s="52"/>
      <c r="C258" s="53"/>
      <c r="D258" s="36" t="s">
        <v>82</v>
      </c>
      <c r="E258" s="45" t="s">
        <v>81</v>
      </c>
      <c r="F258" s="46"/>
      <c r="G258" s="47" t="s">
        <v>389</v>
      </c>
      <c r="H258" s="48"/>
      <c r="I258" s="49" t="s">
        <v>162</v>
      </c>
      <c r="J258" s="49"/>
      <c r="K258" s="44" t="s">
        <v>174</v>
      </c>
      <c r="L258" s="44"/>
    </row>
    <row r="259" spans="1:13" s="31" customFormat="1" ht="14.25" customHeight="1">
      <c r="A259" s="54"/>
      <c r="B259" s="50" t="s">
        <v>52</v>
      </c>
      <c r="C259" s="51"/>
      <c r="D259" s="36" t="s">
        <v>151</v>
      </c>
      <c r="E259" s="45" t="s">
        <v>152</v>
      </c>
      <c r="F259" s="46"/>
      <c r="G259" s="47" t="s">
        <v>390</v>
      </c>
      <c r="H259" s="48"/>
      <c r="I259" s="49" t="s">
        <v>163</v>
      </c>
      <c r="J259" s="49"/>
      <c r="K259" s="44" t="s">
        <v>175</v>
      </c>
      <c r="L259" s="44"/>
    </row>
    <row r="260" spans="1:13" s="31" customFormat="1" ht="14.25" customHeight="1">
      <c r="A260" s="54"/>
      <c r="B260" s="52"/>
      <c r="C260" s="53"/>
      <c r="D260" s="36" t="s">
        <v>152</v>
      </c>
      <c r="E260" s="45" t="s">
        <v>151</v>
      </c>
      <c r="F260" s="46"/>
      <c r="G260" s="47" t="s">
        <v>391</v>
      </c>
      <c r="H260" s="48"/>
      <c r="I260" s="49" t="s">
        <v>164</v>
      </c>
      <c r="J260" s="49"/>
      <c r="K260" s="44" t="s">
        <v>176</v>
      </c>
      <c r="L260" s="44"/>
    </row>
    <row r="261" spans="1:13" s="31" customFormat="1" ht="14.25" customHeight="1">
      <c r="A261" s="54"/>
      <c r="B261" s="50" t="s">
        <v>53</v>
      </c>
      <c r="C261" s="51"/>
      <c r="D261" s="36" t="s">
        <v>153</v>
      </c>
      <c r="E261" s="45" t="s">
        <v>154</v>
      </c>
      <c r="F261" s="46"/>
      <c r="G261" s="47" t="s">
        <v>392</v>
      </c>
      <c r="H261" s="48"/>
      <c r="I261" s="49" t="s">
        <v>165</v>
      </c>
      <c r="J261" s="49"/>
      <c r="K261" s="44" t="s">
        <v>177</v>
      </c>
      <c r="L261" s="44"/>
    </row>
    <row r="262" spans="1:13" s="31" customFormat="1" ht="14.25" customHeight="1">
      <c r="A262" s="54"/>
      <c r="B262" s="52"/>
      <c r="C262" s="53"/>
      <c r="D262" s="36" t="s">
        <v>154</v>
      </c>
      <c r="E262" s="45" t="s">
        <v>153</v>
      </c>
      <c r="F262" s="46"/>
      <c r="G262" s="47" t="s">
        <v>393</v>
      </c>
      <c r="H262" s="48"/>
      <c r="I262" s="49" t="s">
        <v>166</v>
      </c>
      <c r="J262" s="49"/>
      <c r="K262" s="44" t="s">
        <v>178</v>
      </c>
      <c r="L262" s="44"/>
    </row>
    <row r="263" spans="1:13" s="31" customFormat="1" ht="14.25" customHeight="1">
      <c r="A263" s="54"/>
      <c r="B263" s="50" t="s">
        <v>56</v>
      </c>
      <c r="C263" s="51"/>
      <c r="D263" s="36" t="s">
        <v>155</v>
      </c>
      <c r="E263" s="45" t="s">
        <v>156</v>
      </c>
      <c r="F263" s="46"/>
      <c r="G263" s="47" t="s">
        <v>394</v>
      </c>
      <c r="H263" s="48"/>
      <c r="I263" s="49" t="s">
        <v>167</v>
      </c>
      <c r="J263" s="49"/>
      <c r="K263" s="44" t="s">
        <v>179</v>
      </c>
      <c r="L263" s="44"/>
    </row>
    <row r="264" spans="1:13" s="31" customFormat="1" ht="14.25" customHeight="1">
      <c r="A264" s="55"/>
      <c r="B264" s="52"/>
      <c r="C264" s="53"/>
      <c r="D264" s="36" t="s">
        <v>156</v>
      </c>
      <c r="E264" s="45" t="s">
        <v>155</v>
      </c>
      <c r="F264" s="46"/>
      <c r="G264" s="47" t="s">
        <v>395</v>
      </c>
      <c r="H264" s="48"/>
      <c r="I264" s="49" t="s">
        <v>168</v>
      </c>
      <c r="J264" s="49"/>
      <c r="K264" s="44" t="s">
        <v>180</v>
      </c>
      <c r="L264" s="44"/>
    </row>
    <row r="265" spans="1:13" s="31" customFormat="1" ht="13.5">
      <c r="A265" s="14" t="s">
        <v>181</v>
      </c>
      <c r="B265" s="29"/>
      <c r="C265" s="29"/>
      <c r="D265" s="16"/>
      <c r="E265" s="34"/>
      <c r="F265" s="34"/>
      <c r="G265" s="34"/>
      <c r="H265" s="34"/>
      <c r="I265" s="35"/>
      <c r="J265" s="35"/>
      <c r="K265" s="29"/>
      <c r="L265" s="32"/>
    </row>
    <row r="266" spans="1:13" s="31" customFormat="1" ht="6" customHeight="1">
      <c r="A266" s="29"/>
      <c r="B266" s="29"/>
      <c r="C266" s="29"/>
      <c r="D266" s="16"/>
      <c r="E266" s="34"/>
      <c r="F266" s="34"/>
      <c r="G266" s="34"/>
      <c r="H266" s="34"/>
      <c r="I266" s="35"/>
      <c r="J266" s="35"/>
      <c r="K266" s="29"/>
      <c r="L266" s="32"/>
    </row>
    <row r="267" spans="1:13" s="33" customFormat="1" ht="67.5" customHeight="1">
      <c r="A267" s="57" t="s">
        <v>5</v>
      </c>
      <c r="B267" s="57"/>
      <c r="C267" s="58" t="s">
        <v>38</v>
      </c>
      <c r="D267" s="58"/>
      <c r="E267" s="57" t="s">
        <v>182</v>
      </c>
      <c r="F267" s="57"/>
      <c r="G267" s="57" t="s">
        <v>183</v>
      </c>
      <c r="H267" s="57"/>
      <c r="I267" s="57" t="s">
        <v>184</v>
      </c>
      <c r="J267" s="57"/>
      <c r="K267" s="57"/>
      <c r="L267" s="57"/>
      <c r="M267" s="28"/>
    </row>
    <row r="268" spans="1:13" s="31" customFormat="1" ht="13.5">
      <c r="A268" s="56">
        <v>1</v>
      </c>
      <c r="B268" s="56"/>
      <c r="C268" s="56" t="s">
        <v>45</v>
      </c>
      <c r="D268" s="56"/>
      <c r="E268" s="61" t="s">
        <v>396</v>
      </c>
      <c r="F268" s="61"/>
      <c r="G268" s="61" t="s">
        <v>397</v>
      </c>
      <c r="H268" s="61"/>
      <c r="I268" s="63" t="e">
        <f>0.708*E268</f>
        <v>#VALUE!</v>
      </c>
      <c r="J268" s="63"/>
      <c r="K268" s="63"/>
      <c r="L268" s="63"/>
    </row>
    <row r="269" spans="1:13" s="31" customFormat="1" ht="13.5">
      <c r="A269" s="56"/>
      <c r="B269" s="56"/>
      <c r="C269" s="56" t="s">
        <v>46</v>
      </c>
      <c r="D269" s="56"/>
      <c r="E269" s="61" t="s">
        <v>398</v>
      </c>
      <c r="F269" s="61"/>
      <c r="G269" s="61" t="s">
        <v>399</v>
      </c>
      <c r="H269" s="61"/>
      <c r="I269" s="63" t="e">
        <f t="shared" ref="I269:I276" si="1">0.708*E269</f>
        <v>#VALUE!</v>
      </c>
      <c r="J269" s="63"/>
      <c r="K269" s="63"/>
      <c r="L269" s="63"/>
    </row>
    <row r="270" spans="1:13" s="31" customFormat="1" ht="13.5">
      <c r="A270" s="56"/>
      <c r="B270" s="56"/>
      <c r="C270" s="56" t="s">
        <v>47</v>
      </c>
      <c r="D270" s="56"/>
      <c r="E270" s="61" t="s">
        <v>400</v>
      </c>
      <c r="F270" s="61"/>
      <c r="G270" s="61" t="s">
        <v>401</v>
      </c>
      <c r="H270" s="61"/>
      <c r="I270" s="63" t="e">
        <f t="shared" si="1"/>
        <v>#VALUE!</v>
      </c>
      <c r="J270" s="63"/>
      <c r="K270" s="63"/>
      <c r="L270" s="63"/>
    </row>
    <row r="271" spans="1:13" s="31" customFormat="1" ht="13.5" customHeight="1">
      <c r="A271" s="56"/>
      <c r="B271" s="56"/>
      <c r="C271" s="56" t="s">
        <v>48</v>
      </c>
      <c r="D271" s="56"/>
      <c r="E271" s="61" t="s">
        <v>402</v>
      </c>
      <c r="F271" s="61"/>
      <c r="G271" s="61" t="s">
        <v>403</v>
      </c>
      <c r="H271" s="61"/>
      <c r="I271" s="63" t="e">
        <f t="shared" si="1"/>
        <v>#VALUE!</v>
      </c>
      <c r="J271" s="63"/>
      <c r="K271" s="63"/>
      <c r="L271" s="63"/>
    </row>
    <row r="272" spans="1:13" s="31" customFormat="1" ht="13.5">
      <c r="A272" s="56"/>
      <c r="B272" s="56"/>
      <c r="C272" s="56" t="s">
        <v>49</v>
      </c>
      <c r="D272" s="56"/>
      <c r="E272" s="61" t="s">
        <v>404</v>
      </c>
      <c r="F272" s="61"/>
      <c r="G272" s="61" t="s">
        <v>405</v>
      </c>
      <c r="H272" s="61"/>
      <c r="I272" s="63" t="e">
        <f t="shared" si="1"/>
        <v>#VALUE!</v>
      </c>
      <c r="J272" s="63"/>
      <c r="K272" s="63"/>
      <c r="L272" s="63"/>
    </row>
    <row r="273" spans="1:12" s="31" customFormat="1" ht="13.5">
      <c r="A273" s="56"/>
      <c r="B273" s="56"/>
      <c r="C273" s="56" t="s">
        <v>50</v>
      </c>
      <c r="D273" s="56"/>
      <c r="E273" s="61" t="s">
        <v>406</v>
      </c>
      <c r="F273" s="61"/>
      <c r="G273" s="61" t="s">
        <v>407</v>
      </c>
      <c r="H273" s="61"/>
      <c r="I273" s="63" t="e">
        <f t="shared" si="1"/>
        <v>#VALUE!</v>
      </c>
      <c r="J273" s="63"/>
      <c r="K273" s="63"/>
      <c r="L273" s="63"/>
    </row>
    <row r="274" spans="1:12" s="31" customFormat="1" ht="13.5">
      <c r="A274" s="56"/>
      <c r="B274" s="56"/>
      <c r="C274" s="56" t="s">
        <v>51</v>
      </c>
      <c r="D274" s="56"/>
      <c r="E274" s="61" t="s">
        <v>408</v>
      </c>
      <c r="F274" s="61"/>
      <c r="G274" s="61" t="s">
        <v>409</v>
      </c>
      <c r="H274" s="61"/>
      <c r="I274" s="63" t="e">
        <f t="shared" si="1"/>
        <v>#VALUE!</v>
      </c>
      <c r="J274" s="63"/>
      <c r="K274" s="63"/>
      <c r="L274" s="63"/>
    </row>
    <row r="275" spans="1:12" s="31" customFormat="1" ht="13.5">
      <c r="A275" s="56"/>
      <c r="B275" s="56"/>
      <c r="C275" s="56" t="s">
        <v>52</v>
      </c>
      <c r="D275" s="56"/>
      <c r="E275" s="61" t="s">
        <v>410</v>
      </c>
      <c r="F275" s="61"/>
      <c r="G275" s="61" t="s">
        <v>411</v>
      </c>
      <c r="H275" s="61"/>
      <c r="I275" s="63" t="e">
        <f t="shared" si="1"/>
        <v>#VALUE!</v>
      </c>
      <c r="J275" s="63"/>
      <c r="K275" s="63"/>
      <c r="L275" s="63"/>
    </row>
    <row r="276" spans="1:12" s="31" customFormat="1" ht="13.5">
      <c r="A276" s="56"/>
      <c r="B276" s="56"/>
      <c r="C276" s="56" t="s">
        <v>53</v>
      </c>
      <c r="D276" s="56"/>
      <c r="E276" s="61" t="s">
        <v>412</v>
      </c>
      <c r="F276" s="61"/>
      <c r="G276" s="61" t="s">
        <v>413</v>
      </c>
      <c r="H276" s="61"/>
      <c r="I276" s="63" t="e">
        <f t="shared" si="1"/>
        <v>#VALUE!</v>
      </c>
      <c r="J276" s="63"/>
      <c r="K276" s="63"/>
      <c r="L276" s="63"/>
    </row>
    <row r="277" spans="1:12" s="31" customFormat="1" ht="13.5">
      <c r="A277" s="56">
        <v>2</v>
      </c>
      <c r="B277" s="56"/>
      <c r="C277" s="56" t="s">
        <v>45</v>
      </c>
      <c r="D277" s="56"/>
      <c r="E277" s="61" t="s">
        <v>414</v>
      </c>
      <c r="F277" s="61"/>
      <c r="G277" s="61" t="s">
        <v>415</v>
      </c>
      <c r="H277" s="61"/>
      <c r="I277" s="63" t="e">
        <f>0.708*E277</f>
        <v>#VALUE!</v>
      </c>
      <c r="J277" s="63"/>
      <c r="K277" s="63"/>
      <c r="L277" s="63"/>
    </row>
    <row r="278" spans="1:12" s="31" customFormat="1" ht="13.5">
      <c r="A278" s="56"/>
      <c r="B278" s="56"/>
      <c r="C278" s="56" t="s">
        <v>46</v>
      </c>
      <c r="D278" s="56"/>
      <c r="E278" s="61" t="s">
        <v>416</v>
      </c>
      <c r="F278" s="61"/>
      <c r="G278" s="61" t="s">
        <v>417</v>
      </c>
      <c r="H278" s="61"/>
      <c r="I278" s="63" t="e">
        <f t="shared" ref="I278:I285" si="2">0.708*E278</f>
        <v>#VALUE!</v>
      </c>
      <c r="J278" s="63"/>
      <c r="K278" s="63"/>
      <c r="L278" s="63"/>
    </row>
    <row r="279" spans="1:12" s="31" customFormat="1" ht="13.5">
      <c r="A279" s="56"/>
      <c r="B279" s="56"/>
      <c r="C279" s="56" t="s">
        <v>47</v>
      </c>
      <c r="D279" s="56"/>
      <c r="E279" s="61" t="s">
        <v>418</v>
      </c>
      <c r="F279" s="61"/>
      <c r="G279" s="61" t="s">
        <v>419</v>
      </c>
      <c r="H279" s="61"/>
      <c r="I279" s="63" t="e">
        <f t="shared" si="2"/>
        <v>#VALUE!</v>
      </c>
      <c r="J279" s="63"/>
      <c r="K279" s="63"/>
      <c r="L279" s="63"/>
    </row>
    <row r="280" spans="1:12" s="31" customFormat="1" ht="13.5">
      <c r="A280" s="56"/>
      <c r="B280" s="56"/>
      <c r="C280" s="56" t="s">
        <v>48</v>
      </c>
      <c r="D280" s="56"/>
      <c r="E280" s="61" t="s">
        <v>420</v>
      </c>
      <c r="F280" s="61"/>
      <c r="G280" s="61" t="s">
        <v>421</v>
      </c>
      <c r="H280" s="61"/>
      <c r="I280" s="63" t="e">
        <f t="shared" si="2"/>
        <v>#VALUE!</v>
      </c>
      <c r="J280" s="63"/>
      <c r="K280" s="63"/>
      <c r="L280" s="63"/>
    </row>
    <row r="281" spans="1:12" s="31" customFormat="1" ht="13.5">
      <c r="A281" s="56"/>
      <c r="B281" s="56"/>
      <c r="C281" s="56" t="s">
        <v>49</v>
      </c>
      <c r="D281" s="56"/>
      <c r="E281" s="61" t="s">
        <v>422</v>
      </c>
      <c r="F281" s="61"/>
      <c r="G281" s="61" t="s">
        <v>423</v>
      </c>
      <c r="H281" s="61"/>
      <c r="I281" s="63" t="e">
        <f t="shared" si="2"/>
        <v>#VALUE!</v>
      </c>
      <c r="J281" s="63"/>
      <c r="K281" s="63"/>
      <c r="L281" s="63"/>
    </row>
    <row r="282" spans="1:12" s="31" customFormat="1" ht="13.5">
      <c r="A282" s="56"/>
      <c r="B282" s="56"/>
      <c r="C282" s="56" t="s">
        <v>50</v>
      </c>
      <c r="D282" s="56"/>
      <c r="E282" s="61" t="s">
        <v>424</v>
      </c>
      <c r="F282" s="61"/>
      <c r="G282" s="61" t="s">
        <v>425</v>
      </c>
      <c r="H282" s="61"/>
      <c r="I282" s="63" t="e">
        <f t="shared" si="2"/>
        <v>#VALUE!</v>
      </c>
      <c r="J282" s="63"/>
      <c r="K282" s="63"/>
      <c r="L282" s="63"/>
    </row>
    <row r="283" spans="1:12" s="31" customFormat="1" ht="13.5">
      <c r="A283" s="56"/>
      <c r="B283" s="56"/>
      <c r="C283" s="56" t="s">
        <v>51</v>
      </c>
      <c r="D283" s="56"/>
      <c r="E283" s="61" t="s">
        <v>426</v>
      </c>
      <c r="F283" s="61"/>
      <c r="G283" s="61" t="s">
        <v>427</v>
      </c>
      <c r="H283" s="61"/>
      <c r="I283" s="63" t="e">
        <f t="shared" si="2"/>
        <v>#VALUE!</v>
      </c>
      <c r="J283" s="63"/>
      <c r="K283" s="63"/>
      <c r="L283" s="63"/>
    </row>
    <row r="284" spans="1:12" s="31" customFormat="1" ht="13.5">
      <c r="A284" s="56"/>
      <c r="B284" s="56"/>
      <c r="C284" s="56" t="s">
        <v>52</v>
      </c>
      <c r="D284" s="56"/>
      <c r="E284" s="61" t="s">
        <v>428</v>
      </c>
      <c r="F284" s="61"/>
      <c r="G284" s="61" t="s">
        <v>429</v>
      </c>
      <c r="H284" s="61"/>
      <c r="I284" s="63" t="e">
        <f t="shared" si="2"/>
        <v>#VALUE!</v>
      </c>
      <c r="J284" s="63"/>
      <c r="K284" s="63"/>
      <c r="L284" s="63"/>
    </row>
    <row r="285" spans="1:12" s="31" customFormat="1" ht="13.5">
      <c r="A285" s="56"/>
      <c r="B285" s="56"/>
      <c r="C285" s="56" t="s">
        <v>53</v>
      </c>
      <c r="D285" s="56"/>
      <c r="E285" s="61" t="s">
        <v>430</v>
      </c>
      <c r="F285" s="61"/>
      <c r="G285" s="61" t="s">
        <v>431</v>
      </c>
      <c r="H285" s="61"/>
      <c r="I285" s="63" t="e">
        <f t="shared" si="2"/>
        <v>#VALUE!</v>
      </c>
      <c r="J285" s="63"/>
      <c r="K285" s="63"/>
      <c r="L285" s="63"/>
    </row>
    <row r="286" spans="1:12" s="31" customFormat="1" ht="13.5">
      <c r="A286" s="56">
        <v>3</v>
      </c>
      <c r="B286" s="56"/>
      <c r="C286" s="56" t="s">
        <v>45</v>
      </c>
      <c r="D286" s="56"/>
      <c r="E286" s="61" t="s">
        <v>432</v>
      </c>
      <c r="F286" s="61"/>
      <c r="G286" s="61" t="s">
        <v>433</v>
      </c>
      <c r="H286" s="61"/>
      <c r="I286" s="63" t="e">
        <f>0.708*E286</f>
        <v>#VALUE!</v>
      </c>
      <c r="J286" s="63"/>
      <c r="K286" s="63"/>
      <c r="L286" s="63"/>
    </row>
    <row r="287" spans="1:12" s="31" customFormat="1" ht="13.5">
      <c r="A287" s="56"/>
      <c r="B287" s="56"/>
      <c r="C287" s="56" t="s">
        <v>46</v>
      </c>
      <c r="D287" s="56"/>
      <c r="E287" s="61" t="s">
        <v>434</v>
      </c>
      <c r="F287" s="61"/>
      <c r="G287" s="61" t="s">
        <v>435</v>
      </c>
      <c r="H287" s="61"/>
      <c r="I287" s="63" t="e">
        <f t="shared" ref="I287:I294" si="3">0.708*E287</f>
        <v>#VALUE!</v>
      </c>
      <c r="J287" s="63"/>
      <c r="K287" s="63"/>
      <c r="L287" s="63"/>
    </row>
    <row r="288" spans="1:12" s="31" customFormat="1" ht="13.5">
      <c r="A288" s="56"/>
      <c r="B288" s="56"/>
      <c r="C288" s="56" t="s">
        <v>47</v>
      </c>
      <c r="D288" s="56"/>
      <c r="E288" s="61" t="s">
        <v>436</v>
      </c>
      <c r="F288" s="61"/>
      <c r="G288" s="61" t="s">
        <v>437</v>
      </c>
      <c r="H288" s="61"/>
      <c r="I288" s="63" t="e">
        <f t="shared" si="3"/>
        <v>#VALUE!</v>
      </c>
      <c r="J288" s="63"/>
      <c r="K288" s="63"/>
      <c r="L288" s="63"/>
    </row>
    <row r="289" spans="1:12" s="31" customFormat="1" ht="13.5">
      <c r="A289" s="56"/>
      <c r="B289" s="56"/>
      <c r="C289" s="56" t="s">
        <v>48</v>
      </c>
      <c r="D289" s="56"/>
      <c r="E289" s="61" t="s">
        <v>438</v>
      </c>
      <c r="F289" s="61"/>
      <c r="G289" s="61" t="s">
        <v>439</v>
      </c>
      <c r="H289" s="61"/>
      <c r="I289" s="63" t="e">
        <f t="shared" si="3"/>
        <v>#VALUE!</v>
      </c>
      <c r="J289" s="63"/>
      <c r="K289" s="63"/>
      <c r="L289" s="63"/>
    </row>
    <row r="290" spans="1:12" s="31" customFormat="1" ht="13.5">
      <c r="A290" s="56"/>
      <c r="B290" s="56"/>
      <c r="C290" s="56" t="s">
        <v>49</v>
      </c>
      <c r="D290" s="56"/>
      <c r="E290" s="61" t="s">
        <v>440</v>
      </c>
      <c r="F290" s="61"/>
      <c r="G290" s="61" t="s">
        <v>441</v>
      </c>
      <c r="H290" s="61"/>
      <c r="I290" s="63" t="e">
        <f t="shared" si="3"/>
        <v>#VALUE!</v>
      </c>
      <c r="J290" s="63"/>
      <c r="K290" s="63"/>
      <c r="L290" s="63"/>
    </row>
    <row r="291" spans="1:12" s="31" customFormat="1" ht="13.5">
      <c r="A291" s="56"/>
      <c r="B291" s="56"/>
      <c r="C291" s="56" t="s">
        <v>50</v>
      </c>
      <c r="D291" s="56"/>
      <c r="E291" s="61" t="s">
        <v>442</v>
      </c>
      <c r="F291" s="61"/>
      <c r="G291" s="61" t="s">
        <v>443</v>
      </c>
      <c r="H291" s="61"/>
      <c r="I291" s="63" t="e">
        <f t="shared" si="3"/>
        <v>#VALUE!</v>
      </c>
      <c r="J291" s="63"/>
      <c r="K291" s="63"/>
      <c r="L291" s="63"/>
    </row>
    <row r="292" spans="1:12" s="31" customFormat="1" ht="13.5">
      <c r="A292" s="56"/>
      <c r="B292" s="56"/>
      <c r="C292" s="56" t="s">
        <v>51</v>
      </c>
      <c r="D292" s="56"/>
      <c r="E292" s="61" t="s">
        <v>444</v>
      </c>
      <c r="F292" s="61"/>
      <c r="G292" s="61" t="s">
        <v>445</v>
      </c>
      <c r="H292" s="61"/>
      <c r="I292" s="63" t="e">
        <f t="shared" si="3"/>
        <v>#VALUE!</v>
      </c>
      <c r="J292" s="63"/>
      <c r="K292" s="63"/>
      <c r="L292" s="63"/>
    </row>
    <row r="293" spans="1:12" s="31" customFormat="1" ht="13.5">
      <c r="A293" s="56"/>
      <c r="B293" s="56"/>
      <c r="C293" s="56" t="s">
        <v>52</v>
      </c>
      <c r="D293" s="56"/>
      <c r="E293" s="61" t="s">
        <v>446</v>
      </c>
      <c r="F293" s="61"/>
      <c r="G293" s="61" t="s">
        <v>447</v>
      </c>
      <c r="H293" s="61"/>
      <c r="I293" s="63" t="e">
        <f t="shared" si="3"/>
        <v>#VALUE!</v>
      </c>
      <c r="J293" s="63"/>
      <c r="K293" s="63"/>
      <c r="L293" s="63"/>
    </row>
    <row r="294" spans="1:12" s="31" customFormat="1" ht="13.5">
      <c r="A294" s="56"/>
      <c r="B294" s="56"/>
      <c r="C294" s="56" t="s">
        <v>53</v>
      </c>
      <c r="D294" s="56"/>
      <c r="E294" s="61" t="s">
        <v>448</v>
      </c>
      <c r="F294" s="61"/>
      <c r="G294" s="61" t="s">
        <v>449</v>
      </c>
      <c r="H294" s="61"/>
      <c r="I294" s="63" t="e">
        <f t="shared" si="3"/>
        <v>#VALUE!</v>
      </c>
      <c r="J294" s="63"/>
      <c r="K294" s="63"/>
      <c r="L294" s="63"/>
    </row>
    <row r="295" spans="1:12" s="31" customFormat="1" ht="13.5">
      <c r="A295" s="56">
        <v>4</v>
      </c>
      <c r="B295" s="56"/>
      <c r="C295" s="56" t="s">
        <v>45</v>
      </c>
      <c r="D295" s="56"/>
      <c r="E295" s="61" t="s">
        <v>450</v>
      </c>
      <c r="F295" s="61"/>
      <c r="G295" s="61" t="s">
        <v>451</v>
      </c>
      <c r="H295" s="61"/>
      <c r="I295" s="63" t="e">
        <f>0.708*E295</f>
        <v>#VALUE!</v>
      </c>
      <c r="J295" s="63"/>
      <c r="K295" s="63"/>
      <c r="L295" s="63"/>
    </row>
    <row r="296" spans="1:12" s="31" customFormat="1" ht="13.5">
      <c r="A296" s="56"/>
      <c r="B296" s="56"/>
      <c r="C296" s="56" t="s">
        <v>46</v>
      </c>
      <c r="D296" s="56"/>
      <c r="E296" s="61" t="s">
        <v>452</v>
      </c>
      <c r="F296" s="61"/>
      <c r="G296" s="61" t="s">
        <v>453</v>
      </c>
      <c r="H296" s="61"/>
      <c r="I296" s="63" t="e">
        <f t="shared" ref="I296:I303" si="4">0.708*E296</f>
        <v>#VALUE!</v>
      </c>
      <c r="J296" s="63"/>
      <c r="K296" s="63"/>
      <c r="L296" s="63"/>
    </row>
    <row r="297" spans="1:12" s="31" customFormat="1" ht="13.5">
      <c r="A297" s="56"/>
      <c r="B297" s="56"/>
      <c r="C297" s="56" t="s">
        <v>47</v>
      </c>
      <c r="D297" s="56"/>
      <c r="E297" s="61" t="s">
        <v>454</v>
      </c>
      <c r="F297" s="61"/>
      <c r="G297" s="61" t="s">
        <v>455</v>
      </c>
      <c r="H297" s="61"/>
      <c r="I297" s="63" t="e">
        <f t="shared" si="4"/>
        <v>#VALUE!</v>
      </c>
      <c r="J297" s="63"/>
      <c r="K297" s="63"/>
      <c r="L297" s="63"/>
    </row>
    <row r="298" spans="1:12" s="31" customFormat="1" ht="13.5">
      <c r="A298" s="56"/>
      <c r="B298" s="56"/>
      <c r="C298" s="56" t="s">
        <v>48</v>
      </c>
      <c r="D298" s="56"/>
      <c r="E298" s="61" t="s">
        <v>456</v>
      </c>
      <c r="F298" s="61"/>
      <c r="G298" s="61" t="s">
        <v>457</v>
      </c>
      <c r="H298" s="61"/>
      <c r="I298" s="63" t="e">
        <f t="shared" si="4"/>
        <v>#VALUE!</v>
      </c>
      <c r="J298" s="63"/>
      <c r="K298" s="63"/>
      <c r="L298" s="63"/>
    </row>
    <row r="299" spans="1:12" s="31" customFormat="1" ht="13.5">
      <c r="A299" s="56"/>
      <c r="B299" s="56"/>
      <c r="C299" s="56" t="s">
        <v>49</v>
      </c>
      <c r="D299" s="56"/>
      <c r="E299" s="61" t="s">
        <v>458</v>
      </c>
      <c r="F299" s="61"/>
      <c r="G299" s="61" t="s">
        <v>459</v>
      </c>
      <c r="H299" s="61"/>
      <c r="I299" s="63" t="e">
        <f t="shared" si="4"/>
        <v>#VALUE!</v>
      </c>
      <c r="J299" s="63"/>
      <c r="K299" s="63"/>
      <c r="L299" s="63"/>
    </row>
    <row r="300" spans="1:12" s="31" customFormat="1" ht="13.5">
      <c r="A300" s="56"/>
      <c r="B300" s="56"/>
      <c r="C300" s="56" t="s">
        <v>50</v>
      </c>
      <c r="D300" s="56"/>
      <c r="E300" s="61" t="s">
        <v>460</v>
      </c>
      <c r="F300" s="61"/>
      <c r="G300" s="61" t="s">
        <v>461</v>
      </c>
      <c r="H300" s="61"/>
      <c r="I300" s="63" t="e">
        <f t="shared" si="4"/>
        <v>#VALUE!</v>
      </c>
      <c r="J300" s="63"/>
      <c r="K300" s="63"/>
      <c r="L300" s="63"/>
    </row>
    <row r="301" spans="1:12" s="31" customFormat="1" ht="13.5">
      <c r="A301" s="56"/>
      <c r="B301" s="56"/>
      <c r="C301" s="56" t="s">
        <v>51</v>
      </c>
      <c r="D301" s="56"/>
      <c r="E301" s="61" t="s">
        <v>462</v>
      </c>
      <c r="F301" s="61"/>
      <c r="G301" s="61" t="s">
        <v>463</v>
      </c>
      <c r="H301" s="61"/>
      <c r="I301" s="63" t="e">
        <f t="shared" si="4"/>
        <v>#VALUE!</v>
      </c>
      <c r="J301" s="63"/>
      <c r="K301" s="63"/>
      <c r="L301" s="63"/>
    </row>
    <row r="302" spans="1:12" s="31" customFormat="1" ht="13.5">
      <c r="A302" s="56"/>
      <c r="B302" s="56"/>
      <c r="C302" s="56" t="s">
        <v>52</v>
      </c>
      <c r="D302" s="56"/>
      <c r="E302" s="61" t="s">
        <v>464</v>
      </c>
      <c r="F302" s="61"/>
      <c r="G302" s="61" t="s">
        <v>465</v>
      </c>
      <c r="H302" s="61"/>
      <c r="I302" s="63" t="e">
        <f t="shared" si="4"/>
        <v>#VALUE!</v>
      </c>
      <c r="J302" s="63"/>
      <c r="K302" s="63"/>
      <c r="L302" s="63"/>
    </row>
    <row r="303" spans="1:12" s="31" customFormat="1" ht="13.5">
      <c r="A303" s="56"/>
      <c r="B303" s="56"/>
      <c r="C303" s="56" t="s">
        <v>53</v>
      </c>
      <c r="D303" s="56"/>
      <c r="E303" s="61" t="s">
        <v>466</v>
      </c>
      <c r="F303" s="61"/>
      <c r="G303" s="61" t="s">
        <v>467</v>
      </c>
      <c r="H303" s="61"/>
      <c r="I303" s="63" t="e">
        <f t="shared" si="4"/>
        <v>#VALUE!</v>
      </c>
      <c r="J303" s="63"/>
      <c r="K303" s="63"/>
      <c r="L303" s="63"/>
    </row>
    <row r="304" spans="1:12" s="31" customFormat="1" ht="7.5" customHeight="1">
      <c r="A304" s="29"/>
      <c r="B304" s="29"/>
      <c r="C304" s="29"/>
      <c r="D304" s="16"/>
      <c r="E304" s="34"/>
      <c r="F304" s="34"/>
      <c r="G304" s="34"/>
      <c r="H304" s="34"/>
      <c r="I304" s="35"/>
      <c r="J304" s="35"/>
      <c r="K304" s="29"/>
      <c r="L304" s="32"/>
    </row>
    <row r="305" spans="1:12" s="31" customFormat="1" ht="13.5">
      <c r="A305" s="14" t="s">
        <v>185</v>
      </c>
      <c r="B305" s="29"/>
      <c r="C305" s="29"/>
      <c r="D305" s="16"/>
      <c r="E305" s="34"/>
      <c r="F305" s="34"/>
      <c r="G305" s="34"/>
      <c r="H305" s="34"/>
      <c r="I305" s="35"/>
      <c r="J305" s="35"/>
      <c r="K305" s="29"/>
      <c r="L305" s="32"/>
    </row>
    <row r="306" spans="1:12" s="31" customFormat="1" ht="6.75" customHeight="1">
      <c r="A306" s="29"/>
      <c r="B306" s="29"/>
      <c r="C306" s="29"/>
      <c r="D306" s="16"/>
      <c r="E306" s="34"/>
      <c r="F306" s="34"/>
      <c r="G306" s="34"/>
      <c r="H306" s="34"/>
      <c r="I306" s="35"/>
      <c r="J306" s="35"/>
      <c r="K306" s="29"/>
      <c r="L306" s="32"/>
    </row>
    <row r="307" spans="1:12" s="31" customFormat="1" ht="43.5" customHeight="1">
      <c r="A307" s="57" t="s">
        <v>186</v>
      </c>
      <c r="B307" s="57"/>
      <c r="C307" s="57"/>
      <c r="D307" s="57" t="s">
        <v>187</v>
      </c>
      <c r="E307" s="57"/>
      <c r="F307" s="57"/>
      <c r="G307" s="57" t="s">
        <v>188</v>
      </c>
      <c r="H307" s="57"/>
      <c r="I307" s="57"/>
      <c r="J307" s="35"/>
      <c r="K307" s="29"/>
      <c r="L307" s="32"/>
    </row>
    <row r="308" spans="1:12" s="31" customFormat="1" ht="13.5">
      <c r="A308" s="56">
        <v>10</v>
      </c>
      <c r="B308" s="56"/>
      <c r="C308" s="56"/>
      <c r="D308" s="78">
        <v>46.439</v>
      </c>
      <c r="E308" s="78"/>
      <c r="F308" s="78"/>
      <c r="G308" s="74" t="s">
        <v>189</v>
      </c>
      <c r="H308" s="74"/>
      <c r="I308" s="74"/>
      <c r="J308" s="35"/>
      <c r="K308" s="29"/>
      <c r="L308" s="32"/>
    </row>
    <row r="309" spans="1:12" s="31" customFormat="1" ht="6" customHeight="1">
      <c r="A309" s="29"/>
      <c r="B309" s="29"/>
      <c r="C309" s="29"/>
      <c r="D309" s="16"/>
      <c r="E309" s="34"/>
      <c r="F309" s="34"/>
      <c r="G309" s="34"/>
      <c r="H309" s="34"/>
      <c r="I309" s="35"/>
      <c r="J309" s="35"/>
      <c r="K309" s="29"/>
      <c r="L309" s="32"/>
    </row>
    <row r="310" spans="1:12" s="31" customFormat="1" ht="13.5">
      <c r="A310" s="14" t="s">
        <v>190</v>
      </c>
      <c r="B310" s="29"/>
      <c r="C310" s="29"/>
      <c r="D310" s="16"/>
      <c r="E310" s="34"/>
      <c r="F310" s="34"/>
      <c r="G310" s="34"/>
      <c r="H310" s="34"/>
      <c r="I310" s="35"/>
      <c r="J310" s="35"/>
      <c r="K310" s="29"/>
      <c r="L310" s="32"/>
    </row>
    <row r="311" spans="1:12" s="31" customFormat="1" ht="6.75" customHeight="1">
      <c r="A311" s="29"/>
      <c r="B311" s="29"/>
      <c r="C311" s="29"/>
      <c r="D311" s="16"/>
      <c r="E311" s="34"/>
      <c r="F311" s="34"/>
      <c r="G311" s="34"/>
      <c r="H311" s="34"/>
      <c r="I311" s="35"/>
      <c r="J311" s="35"/>
      <c r="K311" s="29"/>
      <c r="L311" s="32"/>
    </row>
    <row r="312" spans="1:12" s="31" customFormat="1" ht="13.5">
      <c r="A312" s="14" t="s">
        <v>191</v>
      </c>
      <c r="B312" s="29"/>
      <c r="C312" s="29"/>
      <c r="D312" s="16"/>
      <c r="E312" s="34"/>
      <c r="F312" s="34"/>
      <c r="G312" s="34"/>
      <c r="H312" s="34"/>
      <c r="I312" s="35"/>
      <c r="J312" s="35"/>
      <c r="K312" s="29"/>
      <c r="L312" s="32"/>
    </row>
    <row r="313" spans="1:12" s="31" customFormat="1" ht="5.25" customHeight="1">
      <c r="A313" s="29"/>
      <c r="B313" s="29"/>
      <c r="C313" s="29"/>
      <c r="D313" s="16"/>
      <c r="E313" s="34"/>
      <c r="F313" s="34"/>
      <c r="G313" s="34"/>
      <c r="H313" s="34"/>
      <c r="I313" s="35"/>
      <c r="J313" s="35"/>
      <c r="K313" s="29"/>
      <c r="L313" s="32"/>
    </row>
    <row r="314" spans="1:12" s="31" customFormat="1" ht="42.75" customHeight="1">
      <c r="A314" s="20" t="s">
        <v>5</v>
      </c>
      <c r="B314" s="57" t="s">
        <v>192</v>
      </c>
      <c r="C314" s="57"/>
      <c r="D314" s="57" t="s">
        <v>193</v>
      </c>
      <c r="E314" s="57"/>
      <c r="F314" s="65" t="s">
        <v>194</v>
      </c>
      <c r="G314" s="65"/>
      <c r="H314" s="65" t="s">
        <v>195</v>
      </c>
      <c r="I314" s="65"/>
      <c r="J314" s="66" t="s">
        <v>196</v>
      </c>
      <c r="K314" s="66"/>
      <c r="L314" s="66"/>
    </row>
    <row r="315" spans="1:12" s="31" customFormat="1" ht="16.5" customHeight="1">
      <c r="A315" s="25">
        <v>1</v>
      </c>
      <c r="B315" s="57" t="s">
        <v>197</v>
      </c>
      <c r="C315" s="57"/>
      <c r="D315" s="56" t="s">
        <v>198</v>
      </c>
      <c r="E315" s="56"/>
      <c r="F315" s="79">
        <v>9.9999539999999998E-2</v>
      </c>
      <c r="G315" s="79"/>
      <c r="H315" s="67">
        <f>(0.1-F315)/F315</f>
        <v>4.6000211601741022E-6</v>
      </c>
      <c r="I315" s="67"/>
      <c r="J315" s="63" t="s">
        <v>199</v>
      </c>
      <c r="K315" s="63"/>
      <c r="L315" s="63"/>
    </row>
    <row r="316" spans="1:12" s="31" customFormat="1" ht="42.75" customHeight="1">
      <c r="A316" s="20" t="s">
        <v>5</v>
      </c>
      <c r="B316" s="57" t="s">
        <v>192</v>
      </c>
      <c r="C316" s="57"/>
      <c r="D316" s="57" t="s">
        <v>193</v>
      </c>
      <c r="E316" s="57"/>
      <c r="F316" s="65" t="s">
        <v>194</v>
      </c>
      <c r="G316" s="65"/>
      <c r="H316" s="65" t="s">
        <v>195</v>
      </c>
      <c r="I316" s="65"/>
      <c r="J316" s="66" t="s">
        <v>196</v>
      </c>
      <c r="K316" s="66"/>
      <c r="L316" s="66"/>
    </row>
    <row r="317" spans="1:12" s="31" customFormat="1" ht="14.25" customHeight="1">
      <c r="A317" s="73">
        <v>1</v>
      </c>
      <c r="B317" s="72" t="s">
        <v>197</v>
      </c>
      <c r="C317" s="72"/>
      <c r="D317" s="56" t="s">
        <v>200</v>
      </c>
      <c r="E317" s="56"/>
      <c r="F317" s="70">
        <v>9.9999540000000007</v>
      </c>
      <c r="G317" s="70"/>
      <c r="H317" s="67">
        <f>(10-F317)/F317</f>
        <v>4.600021160029772E-6</v>
      </c>
      <c r="I317" s="67"/>
      <c r="J317" s="63" t="s">
        <v>199</v>
      </c>
      <c r="K317" s="63"/>
      <c r="L317" s="63"/>
    </row>
    <row r="318" spans="1:12" s="31" customFormat="1" ht="14.25" customHeight="1">
      <c r="A318" s="73"/>
      <c r="B318" s="72" t="s">
        <v>197</v>
      </c>
      <c r="C318" s="72"/>
      <c r="D318" s="56" t="s">
        <v>201</v>
      </c>
      <c r="E318" s="56"/>
      <c r="F318" s="71">
        <v>99.999539999999996</v>
      </c>
      <c r="G318" s="71"/>
      <c r="H318" s="67">
        <f>(100-F318)/F318</f>
        <v>4.6000211601363542E-6</v>
      </c>
      <c r="I318" s="67"/>
      <c r="J318" s="63"/>
      <c r="K318" s="63"/>
      <c r="L318" s="63"/>
    </row>
    <row r="319" spans="1:12" s="31" customFormat="1" ht="14.25" customHeight="1">
      <c r="A319" s="73"/>
      <c r="B319" s="72" t="s">
        <v>202</v>
      </c>
      <c r="C319" s="72"/>
      <c r="D319" s="56" t="s">
        <v>203</v>
      </c>
      <c r="E319" s="56"/>
      <c r="F319" s="68">
        <v>0.99999539999999998</v>
      </c>
      <c r="G319" s="68"/>
      <c r="H319" s="67">
        <f>(1-F319)/F319</f>
        <v>4.6000211601185902E-6</v>
      </c>
      <c r="I319" s="67"/>
      <c r="J319" s="63"/>
      <c r="K319" s="63"/>
      <c r="L319" s="63"/>
    </row>
    <row r="320" spans="1:12" s="31" customFormat="1" ht="14.25" customHeight="1">
      <c r="A320" s="73"/>
      <c r="B320" s="72" t="s">
        <v>202</v>
      </c>
      <c r="C320" s="72"/>
      <c r="D320" s="56" t="s">
        <v>222</v>
      </c>
      <c r="E320" s="56"/>
      <c r="F320" s="68">
        <v>0.99999640000000001</v>
      </c>
      <c r="G320" s="68"/>
      <c r="H320" s="67">
        <f>(1-F320)/F320</f>
        <v>3.6000129600391544E-6</v>
      </c>
      <c r="I320" s="67"/>
      <c r="J320" s="63"/>
      <c r="K320" s="63"/>
      <c r="L320" s="63"/>
    </row>
    <row r="321" spans="1:12" s="31" customFormat="1" ht="14.25" customHeight="1">
      <c r="A321" s="73"/>
      <c r="B321" s="72" t="s">
        <v>202</v>
      </c>
      <c r="C321" s="72"/>
      <c r="D321" s="56" t="s">
        <v>204</v>
      </c>
      <c r="E321" s="56"/>
      <c r="F321" s="70">
        <v>9.9999640000000003</v>
      </c>
      <c r="G321" s="70"/>
      <c r="H321" s="67">
        <f>(10-F321)/F321</f>
        <v>3.6000129600169494E-6</v>
      </c>
      <c r="I321" s="67"/>
      <c r="J321" s="63"/>
      <c r="K321" s="63"/>
      <c r="L321" s="63"/>
    </row>
    <row r="322" spans="1:12" s="31" customFormat="1" ht="14.25" customHeight="1">
      <c r="A322" s="73"/>
      <c r="B322" s="72" t="s">
        <v>202</v>
      </c>
      <c r="C322" s="72"/>
      <c r="D322" s="56" t="s">
        <v>229</v>
      </c>
      <c r="E322" s="56"/>
      <c r="F322" s="70">
        <v>14.999946</v>
      </c>
      <c r="G322" s="70"/>
      <c r="H322" s="67">
        <f>(15-F322)/F322</f>
        <v>3.6000129600761621E-6</v>
      </c>
      <c r="I322" s="67"/>
      <c r="J322" s="63"/>
      <c r="K322" s="63"/>
      <c r="L322" s="63"/>
    </row>
    <row r="323" spans="1:12" s="31" customFormat="1" ht="14.25" customHeight="1">
      <c r="A323" s="73">
        <v>2</v>
      </c>
      <c r="B323" s="57" t="s">
        <v>197</v>
      </c>
      <c r="C323" s="57"/>
      <c r="D323" s="56" t="s">
        <v>198</v>
      </c>
      <c r="E323" s="56"/>
      <c r="F323" s="79">
        <v>9.9999539999999998E-2</v>
      </c>
      <c r="G323" s="79"/>
      <c r="H323" s="67">
        <f>(0.1-F323)/F323</f>
        <v>4.6000211601741022E-6</v>
      </c>
      <c r="I323" s="67"/>
      <c r="J323" s="63" t="s">
        <v>199</v>
      </c>
      <c r="K323" s="63"/>
      <c r="L323" s="63"/>
    </row>
    <row r="324" spans="1:12" s="31" customFormat="1" ht="14.25" customHeight="1">
      <c r="A324" s="73"/>
      <c r="B324" s="72" t="s">
        <v>197</v>
      </c>
      <c r="C324" s="72"/>
      <c r="D324" s="56" t="s">
        <v>200</v>
      </c>
      <c r="E324" s="56"/>
      <c r="F324" s="70">
        <v>9.9999540000000007</v>
      </c>
      <c r="G324" s="70"/>
      <c r="H324" s="67">
        <f>(10-F324)/F324</f>
        <v>4.600021160029772E-6</v>
      </c>
      <c r="I324" s="67"/>
      <c r="J324" s="63" t="s">
        <v>199</v>
      </c>
      <c r="K324" s="63"/>
      <c r="L324" s="63"/>
    </row>
    <row r="325" spans="1:12" s="31" customFormat="1" ht="14.25" customHeight="1">
      <c r="A325" s="73"/>
      <c r="B325" s="72" t="s">
        <v>197</v>
      </c>
      <c r="C325" s="72"/>
      <c r="D325" s="56" t="s">
        <v>201</v>
      </c>
      <c r="E325" s="56"/>
      <c r="F325" s="71">
        <v>99.999539999999996</v>
      </c>
      <c r="G325" s="71"/>
      <c r="H325" s="67">
        <f>(100-F325)/F325</f>
        <v>4.6000211601363542E-6</v>
      </c>
      <c r="I325" s="67"/>
      <c r="J325" s="63"/>
      <c r="K325" s="63"/>
      <c r="L325" s="63"/>
    </row>
    <row r="326" spans="1:12" s="31" customFormat="1" ht="14.25" customHeight="1">
      <c r="A326" s="73"/>
      <c r="B326" s="72" t="s">
        <v>202</v>
      </c>
      <c r="C326" s="72"/>
      <c r="D326" s="56" t="s">
        <v>203</v>
      </c>
      <c r="E326" s="56"/>
      <c r="F326" s="68">
        <v>0.99999539999999998</v>
      </c>
      <c r="G326" s="68"/>
      <c r="H326" s="67">
        <f>(1-F326)/F326</f>
        <v>4.6000211601185902E-6</v>
      </c>
      <c r="I326" s="67"/>
      <c r="J326" s="63"/>
      <c r="K326" s="63"/>
      <c r="L326" s="63"/>
    </row>
    <row r="327" spans="1:12" s="31" customFormat="1" ht="14.25" customHeight="1">
      <c r="A327" s="73"/>
      <c r="B327" s="72" t="s">
        <v>202</v>
      </c>
      <c r="C327" s="72"/>
      <c r="D327" s="56" t="s">
        <v>222</v>
      </c>
      <c r="E327" s="56"/>
      <c r="F327" s="68">
        <v>0.99999640000000001</v>
      </c>
      <c r="G327" s="68"/>
      <c r="H327" s="67">
        <f>(1-F327)/F327</f>
        <v>3.6000129600391544E-6</v>
      </c>
      <c r="I327" s="67"/>
      <c r="J327" s="63"/>
      <c r="K327" s="63"/>
      <c r="L327" s="63"/>
    </row>
    <row r="328" spans="1:12" s="31" customFormat="1" ht="14.25" customHeight="1">
      <c r="A328" s="73"/>
      <c r="B328" s="72" t="s">
        <v>202</v>
      </c>
      <c r="C328" s="72"/>
      <c r="D328" s="56" t="s">
        <v>204</v>
      </c>
      <c r="E328" s="56"/>
      <c r="F328" s="70">
        <v>9.9999640000000003</v>
      </c>
      <c r="G328" s="70"/>
      <c r="H328" s="67">
        <f>(10-F328)/F328</f>
        <v>3.6000129600169494E-6</v>
      </c>
      <c r="I328" s="67"/>
      <c r="J328" s="63"/>
      <c r="K328" s="63"/>
      <c r="L328" s="63"/>
    </row>
    <row r="329" spans="1:12" s="31" customFormat="1" ht="14.25" customHeight="1">
      <c r="A329" s="73"/>
      <c r="B329" s="72" t="s">
        <v>202</v>
      </c>
      <c r="C329" s="72"/>
      <c r="D329" s="56" t="s">
        <v>229</v>
      </c>
      <c r="E329" s="56"/>
      <c r="F329" s="70">
        <v>14.999946</v>
      </c>
      <c r="G329" s="70"/>
      <c r="H329" s="67">
        <f>(15-F329)/F329</f>
        <v>3.6000129600761621E-6</v>
      </c>
      <c r="I329" s="67"/>
      <c r="J329" s="63"/>
      <c r="K329" s="63"/>
      <c r="L329" s="63"/>
    </row>
    <row r="330" spans="1:12" s="31" customFormat="1" ht="8.25" customHeight="1">
      <c r="A330" s="29"/>
      <c r="B330" s="29"/>
      <c r="C330" s="29"/>
      <c r="D330" s="16"/>
      <c r="E330" s="34"/>
      <c r="F330" s="34"/>
      <c r="G330" s="34"/>
      <c r="H330" s="34"/>
      <c r="I330" s="35"/>
      <c r="J330" s="35"/>
      <c r="K330" s="29"/>
      <c r="L330" s="32"/>
    </row>
    <row r="331" spans="1:12" s="31" customFormat="1" ht="13.5">
      <c r="A331" s="14" t="s">
        <v>205</v>
      </c>
      <c r="B331" s="29"/>
      <c r="C331" s="29"/>
      <c r="D331" s="16"/>
      <c r="E331" s="34"/>
      <c r="F331" s="34"/>
      <c r="G331" s="34"/>
      <c r="H331" s="34"/>
      <c r="I331" s="35"/>
      <c r="J331" s="35"/>
      <c r="K331" s="29"/>
      <c r="L331" s="32"/>
    </row>
    <row r="332" spans="1:12" s="31" customFormat="1" ht="6.75" customHeight="1">
      <c r="A332" s="29"/>
      <c r="B332" s="29"/>
      <c r="C332" s="29"/>
      <c r="D332" s="16"/>
      <c r="E332" s="34"/>
      <c r="F332" s="34"/>
      <c r="G332" s="34"/>
      <c r="H332" s="34"/>
      <c r="I332" s="35"/>
      <c r="J332" s="35"/>
      <c r="K332" s="29"/>
      <c r="L332" s="32"/>
    </row>
    <row r="333" spans="1:12" s="31" customFormat="1" ht="27" customHeight="1">
      <c r="A333" s="57" t="s">
        <v>209</v>
      </c>
      <c r="B333" s="57"/>
      <c r="C333" s="57"/>
      <c r="D333" s="57" t="s">
        <v>206</v>
      </c>
      <c r="E333" s="57"/>
      <c r="F333" s="57"/>
      <c r="G333" s="65" t="s">
        <v>210</v>
      </c>
      <c r="H333" s="65"/>
      <c r="I333" s="65"/>
      <c r="J333" s="65"/>
      <c r="K333" s="29"/>
      <c r="L333" s="32"/>
    </row>
    <row r="334" spans="1:12" s="31" customFormat="1" ht="27" customHeight="1">
      <c r="A334" s="57"/>
      <c r="B334" s="57"/>
      <c r="C334" s="57"/>
      <c r="D334" s="15" t="s">
        <v>207</v>
      </c>
      <c r="E334" s="65" t="s">
        <v>208</v>
      </c>
      <c r="F334" s="65"/>
      <c r="G334" s="65" t="s">
        <v>42</v>
      </c>
      <c r="H334" s="65"/>
      <c r="I334" s="66" t="s">
        <v>43</v>
      </c>
      <c r="J334" s="66"/>
      <c r="K334" s="29"/>
      <c r="L334" s="32"/>
    </row>
    <row r="335" spans="1:12" s="31" customFormat="1" ht="13.5">
      <c r="A335" s="69">
        <v>0.01</v>
      </c>
      <c r="B335" s="69"/>
      <c r="C335" s="69"/>
      <c r="D335" s="6">
        <v>1.0057999999999999E-2</v>
      </c>
      <c r="E335" s="70">
        <v>9.8530000000000006E-3</v>
      </c>
      <c r="F335" s="70"/>
      <c r="G335" s="74">
        <v>8.6999999999999994E-3</v>
      </c>
      <c r="H335" s="74"/>
      <c r="I335" s="75">
        <v>1.1299999999999999E-2</v>
      </c>
      <c r="J335" s="75"/>
      <c r="K335" s="29"/>
      <c r="L335" s="32"/>
    </row>
    <row r="336" spans="1:12" s="31" customFormat="1" ht="13.5">
      <c r="A336" s="69">
        <v>0.1</v>
      </c>
      <c r="B336" s="69"/>
      <c r="C336" s="69"/>
      <c r="D336" s="6">
        <v>9.9460000000000007E-2</v>
      </c>
      <c r="E336" s="71">
        <v>9.9949999999999997E-2</v>
      </c>
      <c r="F336" s="71"/>
      <c r="G336" s="69">
        <v>9.6000000000000002E-2</v>
      </c>
      <c r="H336" s="69"/>
      <c r="I336" s="63">
        <v>0.104</v>
      </c>
      <c r="J336" s="63"/>
      <c r="K336" s="29"/>
      <c r="L336" s="32"/>
    </row>
    <row r="337" spans="1:12" s="31" customFormat="1" ht="13.5">
      <c r="A337" s="69">
        <v>1</v>
      </c>
      <c r="B337" s="69"/>
      <c r="C337" s="69"/>
      <c r="D337" s="6">
        <v>1.0011000000000001</v>
      </c>
      <c r="E337" s="64">
        <v>1.0013000000000001</v>
      </c>
      <c r="F337" s="64"/>
      <c r="G337" s="69">
        <v>0.96899999999999997</v>
      </c>
      <c r="H337" s="69"/>
      <c r="I337" s="63">
        <v>1.0309999999999999</v>
      </c>
      <c r="J337" s="63"/>
      <c r="K337" s="29"/>
      <c r="L337" s="32"/>
    </row>
    <row r="338" spans="1:12" s="31" customFormat="1" ht="13.5">
      <c r="A338" s="69">
        <v>2</v>
      </c>
      <c r="B338" s="69"/>
      <c r="C338" s="69"/>
      <c r="D338" s="6">
        <v>2.0001000000000002</v>
      </c>
      <c r="E338" s="64">
        <v>2.0011000000000001</v>
      </c>
      <c r="F338" s="64"/>
      <c r="G338" s="69">
        <v>1.9390000000000001</v>
      </c>
      <c r="H338" s="69"/>
      <c r="I338" s="63">
        <v>2.0609999999999999</v>
      </c>
      <c r="J338" s="63"/>
      <c r="K338" s="29"/>
      <c r="L338" s="32"/>
    </row>
    <row r="339" spans="1:12" s="31" customFormat="1" ht="13.5">
      <c r="A339" s="69">
        <v>2.5</v>
      </c>
      <c r="B339" s="69"/>
      <c r="C339" s="69"/>
      <c r="D339" s="6">
        <v>2.5001000000000002</v>
      </c>
      <c r="E339" s="64">
        <v>2.5013000000000001</v>
      </c>
      <c r="F339" s="64"/>
      <c r="G339" s="69">
        <v>2.4239999999999999</v>
      </c>
      <c r="H339" s="69"/>
      <c r="I339" s="63">
        <v>2.5760000000000001</v>
      </c>
      <c r="J339" s="63"/>
      <c r="K339" s="29"/>
      <c r="L339" s="32"/>
    </row>
    <row r="340" spans="1:12" s="31" customFormat="1" ht="4.5" customHeight="1">
      <c r="A340" s="29"/>
      <c r="B340" s="29"/>
      <c r="C340" s="29"/>
      <c r="D340" s="16"/>
      <c r="E340" s="34"/>
      <c r="F340" s="34"/>
      <c r="G340" s="34"/>
      <c r="H340" s="34"/>
      <c r="I340" s="35"/>
      <c r="J340" s="35"/>
      <c r="K340" s="29"/>
      <c r="L340" s="32"/>
    </row>
    <row r="341" spans="1:12" s="31" customFormat="1" ht="13.5">
      <c r="A341" s="14" t="s">
        <v>211</v>
      </c>
      <c r="B341" s="29"/>
      <c r="C341" s="29"/>
      <c r="D341" s="16"/>
      <c r="E341" s="34"/>
      <c r="F341" s="34"/>
      <c r="G341" s="34"/>
      <c r="H341" s="34"/>
      <c r="I341" s="35"/>
      <c r="J341" s="35"/>
      <c r="K341" s="29"/>
      <c r="L341" s="32"/>
    </row>
    <row r="342" spans="1:12" s="31" customFormat="1" ht="6.75" customHeight="1">
      <c r="A342" s="29"/>
      <c r="B342" s="29"/>
      <c r="C342" s="29"/>
      <c r="D342" s="16"/>
      <c r="E342" s="34"/>
      <c r="F342" s="34"/>
      <c r="G342" s="34"/>
      <c r="H342" s="34"/>
      <c r="I342" s="35"/>
      <c r="J342" s="35"/>
      <c r="K342" s="29"/>
      <c r="L342" s="32"/>
    </row>
    <row r="343" spans="1:12" s="31" customFormat="1" ht="27" customHeight="1">
      <c r="A343" s="57" t="s">
        <v>212</v>
      </c>
      <c r="B343" s="57"/>
      <c r="C343" s="57"/>
      <c r="D343" s="57" t="s">
        <v>213</v>
      </c>
      <c r="E343" s="57"/>
      <c r="F343" s="57"/>
      <c r="G343" s="65" t="s">
        <v>214</v>
      </c>
      <c r="H343" s="65"/>
      <c r="I343" s="65"/>
      <c r="J343" s="65"/>
      <c r="K343" s="29"/>
      <c r="L343" s="32"/>
    </row>
    <row r="344" spans="1:12" s="31" customFormat="1" ht="27" customHeight="1">
      <c r="A344" s="57"/>
      <c r="B344" s="57"/>
      <c r="C344" s="57"/>
      <c r="D344" s="15" t="s">
        <v>207</v>
      </c>
      <c r="E344" s="65" t="s">
        <v>208</v>
      </c>
      <c r="F344" s="65"/>
      <c r="G344" s="65" t="s">
        <v>42</v>
      </c>
      <c r="H344" s="65"/>
      <c r="I344" s="66" t="s">
        <v>43</v>
      </c>
      <c r="J344" s="66"/>
      <c r="K344" s="29"/>
      <c r="L344" s="32"/>
    </row>
    <row r="345" spans="1:12" s="31" customFormat="1" ht="13.5">
      <c r="A345" s="69">
        <v>0.01</v>
      </c>
      <c r="B345" s="69"/>
      <c r="C345" s="69"/>
      <c r="D345" s="6">
        <v>1.021E-2</v>
      </c>
      <c r="E345" s="71">
        <v>1.008E-2</v>
      </c>
      <c r="F345" s="71"/>
      <c r="G345" s="74">
        <v>4.7000000000000002E-3</v>
      </c>
      <c r="H345" s="74"/>
      <c r="I345" s="75">
        <v>1.5299999999999999E-2</v>
      </c>
      <c r="J345" s="75"/>
      <c r="K345" s="29"/>
      <c r="L345" s="32"/>
    </row>
    <row r="346" spans="1:12" s="31" customFormat="1" ht="13.5">
      <c r="A346" s="69">
        <v>0.5</v>
      </c>
      <c r="B346" s="69"/>
      <c r="C346" s="69"/>
      <c r="D346" s="6">
        <v>0.49859999999999999</v>
      </c>
      <c r="E346" s="64">
        <v>0.5</v>
      </c>
      <c r="F346" s="64"/>
      <c r="G346" s="69">
        <v>0.48</v>
      </c>
      <c r="H346" s="69"/>
      <c r="I346" s="63">
        <v>0.52</v>
      </c>
      <c r="J346" s="63"/>
      <c r="K346" s="29"/>
      <c r="L346" s="32"/>
    </row>
    <row r="347" spans="1:12" s="31" customFormat="1" ht="13.5">
      <c r="A347" s="69">
        <v>1</v>
      </c>
      <c r="B347" s="69"/>
      <c r="C347" s="69"/>
      <c r="D347" s="6">
        <v>0.99709999999999999</v>
      </c>
      <c r="E347" s="64">
        <v>0.99990000000000001</v>
      </c>
      <c r="F347" s="64"/>
      <c r="G347" s="69">
        <v>0.96499999999999997</v>
      </c>
      <c r="H347" s="69"/>
      <c r="I347" s="63">
        <v>1.0349999999999999</v>
      </c>
      <c r="J347" s="63"/>
      <c r="K347" s="29"/>
      <c r="L347" s="32"/>
    </row>
    <row r="348" spans="1:12" s="31" customFormat="1" ht="13.5">
      <c r="A348" s="69">
        <v>1.2</v>
      </c>
      <c r="B348" s="69"/>
      <c r="C348" s="69"/>
      <c r="D348" s="6">
        <v>1.1996</v>
      </c>
      <c r="E348" s="64">
        <v>1.2005999999999999</v>
      </c>
      <c r="F348" s="64"/>
      <c r="G348" s="69">
        <v>1.159</v>
      </c>
      <c r="H348" s="69"/>
      <c r="I348" s="63">
        <v>1.2410000000000001</v>
      </c>
      <c r="J348" s="63"/>
      <c r="K348" s="29"/>
      <c r="L348" s="32"/>
    </row>
    <row r="349" spans="1:12" s="31" customFormat="1" ht="6.75" customHeight="1">
      <c r="A349" s="29"/>
      <c r="B349" s="29"/>
      <c r="C349" s="29"/>
      <c r="D349" s="16"/>
      <c r="E349" s="34"/>
      <c r="F349" s="34"/>
      <c r="G349" s="34"/>
      <c r="H349" s="34"/>
      <c r="I349" s="35"/>
      <c r="J349" s="35"/>
      <c r="K349" s="29"/>
      <c r="L349" s="32"/>
    </row>
    <row r="350" spans="1:12" s="31" customFormat="1" ht="13.5">
      <c r="A350" s="14" t="s">
        <v>215</v>
      </c>
      <c r="B350" s="29"/>
      <c r="C350" s="29"/>
      <c r="D350" s="16"/>
      <c r="E350" s="34"/>
      <c r="F350" s="34"/>
      <c r="G350" s="34"/>
      <c r="H350" s="34"/>
      <c r="I350" s="35"/>
      <c r="J350" s="35"/>
      <c r="K350" s="29"/>
      <c r="L350" s="32"/>
    </row>
    <row r="351" spans="1:12" s="31" customFormat="1" ht="4.5" customHeight="1">
      <c r="A351" s="29"/>
      <c r="B351" s="29"/>
      <c r="C351" s="29"/>
      <c r="D351" s="16"/>
      <c r="E351" s="34"/>
      <c r="F351" s="34"/>
      <c r="G351" s="34"/>
      <c r="H351" s="34"/>
      <c r="I351" s="35"/>
      <c r="J351" s="35"/>
      <c r="K351" s="29"/>
      <c r="L351" s="32"/>
    </row>
    <row r="352" spans="1:12" s="31" customFormat="1" ht="25.5" customHeight="1">
      <c r="A352" s="57" t="s">
        <v>217</v>
      </c>
      <c r="B352" s="57"/>
      <c r="C352" s="57"/>
      <c r="D352" s="57" t="s">
        <v>216</v>
      </c>
      <c r="E352" s="57"/>
      <c r="F352" s="57"/>
      <c r="G352" s="65" t="s">
        <v>218</v>
      </c>
      <c r="H352" s="65"/>
      <c r="I352" s="65"/>
      <c r="J352" s="66" t="s">
        <v>219</v>
      </c>
      <c r="K352" s="66"/>
      <c r="L352" s="66"/>
    </row>
    <row r="353" spans="1:16" s="31" customFormat="1" ht="24.75" customHeight="1">
      <c r="A353" s="57"/>
      <c r="B353" s="57"/>
      <c r="C353" s="57"/>
      <c r="D353" s="15" t="s">
        <v>207</v>
      </c>
      <c r="E353" s="65" t="s">
        <v>208</v>
      </c>
      <c r="F353" s="65"/>
      <c r="G353" s="65" t="s">
        <v>207</v>
      </c>
      <c r="H353" s="65"/>
      <c r="I353" s="39" t="s">
        <v>208</v>
      </c>
      <c r="J353" s="66"/>
      <c r="K353" s="66"/>
      <c r="L353" s="66"/>
    </row>
    <row r="354" spans="1:16" s="31" customFormat="1" ht="15" customHeight="1">
      <c r="A354" s="56" t="s">
        <v>203</v>
      </c>
      <c r="B354" s="56"/>
      <c r="C354" s="56"/>
      <c r="D354" s="6">
        <v>-0.16900000000000001</v>
      </c>
      <c r="E354" s="61">
        <v>-0.17499999999999999</v>
      </c>
      <c r="F354" s="61"/>
      <c r="G354" s="74" t="s">
        <v>225</v>
      </c>
      <c r="H354" s="74"/>
      <c r="I354" s="38" t="s">
        <v>225</v>
      </c>
      <c r="J354" s="63" t="s">
        <v>226</v>
      </c>
      <c r="K354" s="63"/>
      <c r="L354" s="63"/>
    </row>
    <row r="355" spans="1:16" s="31" customFormat="1" ht="15" customHeight="1">
      <c r="A355" s="56" t="s">
        <v>200</v>
      </c>
      <c r="B355" s="56"/>
      <c r="C355" s="56"/>
      <c r="D355" s="6">
        <v>-0.17699999999999999</v>
      </c>
      <c r="E355" s="61">
        <v>-0.17899999999999999</v>
      </c>
      <c r="F355" s="61"/>
      <c r="G355" s="61">
        <f>D355-$D$354</f>
        <v>-7.9999999999999793E-3</v>
      </c>
      <c r="H355" s="61"/>
      <c r="I355" s="17">
        <f>E355-$E$354</f>
        <v>-4.0000000000000036E-3</v>
      </c>
      <c r="J355" s="63" t="s">
        <v>227</v>
      </c>
      <c r="K355" s="63"/>
      <c r="L355" s="63"/>
    </row>
    <row r="356" spans="1:16" s="31" customFormat="1" ht="15" customHeight="1">
      <c r="A356" s="56" t="s">
        <v>201</v>
      </c>
      <c r="B356" s="56"/>
      <c r="C356" s="56"/>
      <c r="D356" s="6">
        <v>-0.17299999999999999</v>
      </c>
      <c r="E356" s="61">
        <v>-0.17899999999999999</v>
      </c>
      <c r="F356" s="61"/>
      <c r="G356" s="61">
        <f t="shared" ref="G356:G362" si="5">D356-$D$354</f>
        <v>-3.9999999999999758E-3</v>
      </c>
      <c r="H356" s="61"/>
      <c r="I356" s="17">
        <f t="shared" ref="I356:I362" si="6">E356-$E$354</f>
        <v>-4.0000000000000036E-3</v>
      </c>
      <c r="J356" s="63"/>
      <c r="K356" s="63"/>
      <c r="L356" s="63"/>
    </row>
    <row r="357" spans="1:16" s="31" customFormat="1" ht="15" customHeight="1">
      <c r="A357" s="56" t="s">
        <v>220</v>
      </c>
      <c r="B357" s="56"/>
      <c r="C357" s="56"/>
      <c r="D357" s="6">
        <v>-0.17799999999999999</v>
      </c>
      <c r="E357" s="61">
        <v>-0.184</v>
      </c>
      <c r="F357" s="61"/>
      <c r="G357" s="61">
        <f t="shared" si="5"/>
        <v>-8.9999999999999802E-3</v>
      </c>
      <c r="H357" s="61"/>
      <c r="I357" s="17">
        <f t="shared" si="6"/>
        <v>-9.000000000000008E-3</v>
      </c>
      <c r="J357" s="63"/>
      <c r="K357" s="63"/>
      <c r="L357" s="63"/>
    </row>
    <row r="358" spans="1:16" s="31" customFormat="1" ht="15" customHeight="1">
      <c r="A358" s="56" t="s">
        <v>221</v>
      </c>
      <c r="B358" s="56"/>
      <c r="C358" s="56"/>
      <c r="D358" s="6">
        <v>-0.20799999999999999</v>
      </c>
      <c r="E358" s="61">
        <v>-0.215</v>
      </c>
      <c r="F358" s="61"/>
      <c r="G358" s="61">
        <f t="shared" si="5"/>
        <v>-3.8999999999999979E-2</v>
      </c>
      <c r="H358" s="61"/>
      <c r="I358" s="17">
        <f t="shared" si="6"/>
        <v>-4.0000000000000008E-2</v>
      </c>
      <c r="J358" s="63"/>
      <c r="K358" s="63"/>
      <c r="L358" s="63"/>
    </row>
    <row r="359" spans="1:16" s="31" customFormat="1" ht="15" customHeight="1">
      <c r="A359" s="56" t="s">
        <v>222</v>
      </c>
      <c r="B359" s="56"/>
      <c r="C359" s="56"/>
      <c r="D359" s="6">
        <v>-0.25600000000000001</v>
      </c>
      <c r="E359" s="61">
        <v>-0.26200000000000001</v>
      </c>
      <c r="F359" s="61"/>
      <c r="G359" s="61">
        <f t="shared" si="5"/>
        <v>-8.6999999999999994E-2</v>
      </c>
      <c r="H359" s="61"/>
      <c r="I359" s="17">
        <f t="shared" si="6"/>
        <v>-8.7000000000000022E-2</v>
      </c>
      <c r="J359" s="63"/>
      <c r="K359" s="63"/>
      <c r="L359" s="63"/>
    </row>
    <row r="360" spans="1:16" s="31" customFormat="1" ht="15" customHeight="1">
      <c r="A360" s="56" t="s">
        <v>204</v>
      </c>
      <c r="B360" s="56"/>
      <c r="C360" s="56"/>
      <c r="D360" s="6">
        <v>-0.36599999999999999</v>
      </c>
      <c r="E360" s="61">
        <v>-0.38800000000000001</v>
      </c>
      <c r="F360" s="61"/>
      <c r="G360" s="61">
        <f t="shared" si="5"/>
        <v>-0.19699999999999998</v>
      </c>
      <c r="H360" s="61"/>
      <c r="I360" s="17">
        <f t="shared" si="6"/>
        <v>-0.21300000000000002</v>
      </c>
      <c r="J360" s="63"/>
      <c r="K360" s="63"/>
      <c r="L360" s="63"/>
    </row>
    <row r="361" spans="1:16" s="31" customFormat="1" ht="15" customHeight="1">
      <c r="A361" s="56" t="s">
        <v>223</v>
      </c>
      <c r="B361" s="56"/>
      <c r="C361" s="56"/>
      <c r="D361" s="6">
        <v>-0.50800000000000001</v>
      </c>
      <c r="E361" s="61">
        <v>-0.56999999999999995</v>
      </c>
      <c r="F361" s="61"/>
      <c r="G361" s="61">
        <f t="shared" si="5"/>
        <v>-0.33899999999999997</v>
      </c>
      <c r="H361" s="61"/>
      <c r="I361" s="17">
        <f t="shared" si="6"/>
        <v>-0.39499999999999996</v>
      </c>
      <c r="J361" s="63"/>
      <c r="K361" s="63"/>
      <c r="L361" s="63"/>
    </row>
    <row r="362" spans="1:16" s="31" customFormat="1" ht="15" customHeight="1">
      <c r="A362" s="56" t="s">
        <v>224</v>
      </c>
      <c r="B362" s="56"/>
      <c r="C362" s="56"/>
      <c r="D362" s="6">
        <v>-0.60099999999999998</v>
      </c>
      <c r="E362" s="61">
        <v>-0.68600000000000005</v>
      </c>
      <c r="F362" s="61"/>
      <c r="G362" s="61">
        <f t="shared" si="5"/>
        <v>-0.43199999999999994</v>
      </c>
      <c r="H362" s="61"/>
      <c r="I362" s="17">
        <f t="shared" si="6"/>
        <v>-0.51100000000000012</v>
      </c>
      <c r="J362" s="63"/>
      <c r="K362" s="63"/>
      <c r="L362" s="63"/>
    </row>
    <row r="363" spans="1:16" s="1" customFormat="1" ht="6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</row>
    <row r="364" spans="1:16" s="1" customForma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</row>
    <row r="365" spans="1:16" s="1" customFormat="1" ht="13.5">
      <c r="A365" s="14" t="s">
        <v>228</v>
      </c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</row>
    <row r="366" spans="1:16" s="1" customForma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</row>
    <row r="367" spans="1:16" s="1" customFormat="1" ht="13.5">
      <c r="A367" s="14" t="s">
        <v>8</v>
      </c>
      <c r="B367" s="5"/>
      <c r="C367" s="14"/>
      <c r="D367" s="14"/>
      <c r="E367" s="14"/>
      <c r="F367" s="14"/>
      <c r="G367" s="43" t="s">
        <v>242</v>
      </c>
      <c r="H367" s="108" t="s">
        <v>243</v>
      </c>
      <c r="I367" s="108"/>
      <c r="J367" s="14"/>
      <c r="K367" s="14"/>
      <c r="L367" s="14"/>
      <c r="M367" s="14"/>
      <c r="N367" s="14"/>
      <c r="O367" s="14"/>
      <c r="P367" s="14"/>
    </row>
    <row r="368" spans="1:16" s="1" customForma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</row>
    <row r="369" spans="1:16" s="1" customForma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</row>
    <row r="370" spans="1:16" s="1" customForma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</row>
    <row r="371" spans="1:16" s="1" customForma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</row>
    <row r="372" spans="1:16" s="1" customFormat="1"/>
    <row r="373" spans="1:16" s="1" customFormat="1"/>
    <row r="374" spans="1:16" s="1" customFormat="1"/>
    <row r="375" spans="1:16" s="1" customFormat="1"/>
    <row r="376" spans="1:16" s="1" customFormat="1"/>
    <row r="377" spans="1:16" s="1" customFormat="1"/>
    <row r="378" spans="1:16" s="1" customFormat="1"/>
    <row r="379" spans="1:16" s="1" customFormat="1"/>
    <row r="380" spans="1:16" s="1" customFormat="1"/>
    <row r="381" spans="1:16" s="1" customFormat="1"/>
    <row r="382" spans="1:16" s="1" customFormat="1"/>
    <row r="383" spans="1:16" s="1" customFormat="1"/>
    <row r="384" spans="1:16" s="1" customFormat="1"/>
  </sheetData>
  <mergeCells count="1335">
    <mergeCell ref="B159:C159"/>
    <mergeCell ref="D159:E159"/>
    <mergeCell ref="F159:H159"/>
    <mergeCell ref="I159:L159"/>
    <mergeCell ref="I244:J244"/>
    <mergeCell ref="H5:I5"/>
    <mergeCell ref="H367:I367"/>
    <mergeCell ref="A130:A155"/>
    <mergeCell ref="A56:A75"/>
    <mergeCell ref="A76:A101"/>
    <mergeCell ref="A108:A109"/>
    <mergeCell ref="A110:A129"/>
    <mergeCell ref="A217:A228"/>
    <mergeCell ref="K244:L244"/>
    <mergeCell ref="B108:C109"/>
    <mergeCell ref="D108:E109"/>
    <mergeCell ref="F108:H109"/>
    <mergeCell ref="I108:L108"/>
    <mergeCell ref="I109:J109"/>
    <mergeCell ref="K109:L109"/>
    <mergeCell ref="I215:L215"/>
    <mergeCell ref="I216:J216"/>
    <mergeCell ref="K216:L216"/>
    <mergeCell ref="H321:I321"/>
    <mergeCell ref="B150:C151"/>
    <mergeCell ref="D150:E150"/>
    <mergeCell ref="F150:H150"/>
    <mergeCell ref="I150:J150"/>
    <mergeCell ref="K150:L150"/>
    <mergeCell ref="D151:E151"/>
    <mergeCell ref="D153:E153"/>
    <mergeCell ref="F153:H153"/>
    <mergeCell ref="I153:J153"/>
    <mergeCell ref="F151:H151"/>
    <mergeCell ref="I151:J151"/>
    <mergeCell ref="I64:J64"/>
    <mergeCell ref="I66:J66"/>
    <mergeCell ref="I68:J68"/>
    <mergeCell ref="I70:J70"/>
    <mergeCell ref="F73:H73"/>
    <mergeCell ref="F155:H155"/>
    <mergeCell ref="I155:J155"/>
    <mergeCell ref="K155:L155"/>
    <mergeCell ref="K151:L151"/>
    <mergeCell ref="B152:C153"/>
    <mergeCell ref="D152:E152"/>
    <mergeCell ref="F152:H152"/>
    <mergeCell ref="I152:J152"/>
    <mergeCell ref="K152:L152"/>
    <mergeCell ref="K153:L153"/>
    <mergeCell ref="B154:C155"/>
    <mergeCell ref="D154:E154"/>
    <mergeCell ref="F154:H154"/>
    <mergeCell ref="I154:J154"/>
    <mergeCell ref="K154:L154"/>
    <mergeCell ref="D155:E155"/>
    <mergeCell ref="B146:C147"/>
    <mergeCell ref="D146:E146"/>
    <mergeCell ref="F146:H146"/>
    <mergeCell ref="I146:J146"/>
    <mergeCell ref="K146:L146"/>
    <mergeCell ref="D147:E147"/>
    <mergeCell ref="F147:H147"/>
    <mergeCell ref="I147:J147"/>
    <mergeCell ref="K147:L147"/>
    <mergeCell ref="I60:J60"/>
    <mergeCell ref="I62:J62"/>
    <mergeCell ref="B148:C149"/>
    <mergeCell ref="D148:E148"/>
    <mergeCell ref="F148:H148"/>
    <mergeCell ref="I148:J148"/>
    <mergeCell ref="D149:E149"/>
    <mergeCell ref="F149:H149"/>
    <mergeCell ref="I149:J149"/>
    <mergeCell ref="I72:J72"/>
    <mergeCell ref="K148:L148"/>
    <mergeCell ref="K149:L149"/>
    <mergeCell ref="B142:C143"/>
    <mergeCell ref="D142:E142"/>
    <mergeCell ref="F142:H142"/>
    <mergeCell ref="I142:J142"/>
    <mergeCell ref="K142:L142"/>
    <mergeCell ref="D143:E143"/>
    <mergeCell ref="F143:H143"/>
    <mergeCell ref="I143:J143"/>
    <mergeCell ref="K143:L143"/>
    <mergeCell ref="B144:C145"/>
    <mergeCell ref="D144:E144"/>
    <mergeCell ref="F144:H144"/>
    <mergeCell ref="I144:J144"/>
    <mergeCell ref="K144:L144"/>
    <mergeCell ref="D145:E145"/>
    <mergeCell ref="F145:H145"/>
    <mergeCell ref="I145:J145"/>
    <mergeCell ref="K145:L145"/>
    <mergeCell ref="B138:C139"/>
    <mergeCell ref="D138:E138"/>
    <mergeCell ref="F138:H138"/>
    <mergeCell ref="I138:J138"/>
    <mergeCell ref="K138:L138"/>
    <mergeCell ref="D139:E139"/>
    <mergeCell ref="F139:H139"/>
    <mergeCell ref="I139:J139"/>
    <mergeCell ref="K139:L139"/>
    <mergeCell ref="B140:C141"/>
    <mergeCell ref="D140:E140"/>
    <mergeCell ref="F140:H140"/>
    <mergeCell ref="I140:J140"/>
    <mergeCell ref="K140:L140"/>
    <mergeCell ref="D141:E141"/>
    <mergeCell ref="F141:H141"/>
    <mergeCell ref="I141:J141"/>
    <mergeCell ref="K141:L141"/>
    <mergeCell ref="B134:C135"/>
    <mergeCell ref="D134:E134"/>
    <mergeCell ref="F134:H134"/>
    <mergeCell ref="I134:J134"/>
    <mergeCell ref="K134:L134"/>
    <mergeCell ref="D135:E135"/>
    <mergeCell ref="F135:H135"/>
    <mergeCell ref="I135:J135"/>
    <mergeCell ref="K135:L135"/>
    <mergeCell ref="B136:C137"/>
    <mergeCell ref="D136:E136"/>
    <mergeCell ref="F136:H136"/>
    <mergeCell ref="I136:J136"/>
    <mergeCell ref="K136:L136"/>
    <mergeCell ref="D137:E137"/>
    <mergeCell ref="F137:H137"/>
    <mergeCell ref="I137:J137"/>
    <mergeCell ref="K137:L137"/>
    <mergeCell ref="B130:C131"/>
    <mergeCell ref="D130:E130"/>
    <mergeCell ref="F130:H130"/>
    <mergeCell ref="I130:J130"/>
    <mergeCell ref="K130:L130"/>
    <mergeCell ref="D131:E131"/>
    <mergeCell ref="F131:H131"/>
    <mergeCell ref="I131:J131"/>
    <mergeCell ref="K131:L131"/>
    <mergeCell ref="B132:C133"/>
    <mergeCell ref="D132:E132"/>
    <mergeCell ref="F132:H132"/>
    <mergeCell ref="I132:J132"/>
    <mergeCell ref="K132:L132"/>
    <mergeCell ref="D133:E133"/>
    <mergeCell ref="F133:H133"/>
    <mergeCell ref="I133:J133"/>
    <mergeCell ref="K133:L133"/>
    <mergeCell ref="B126:C127"/>
    <mergeCell ref="D126:E126"/>
    <mergeCell ref="F126:H126"/>
    <mergeCell ref="I126:J126"/>
    <mergeCell ref="K126:L126"/>
    <mergeCell ref="D127:E127"/>
    <mergeCell ref="F127:H127"/>
    <mergeCell ref="I127:J127"/>
    <mergeCell ref="K127:L127"/>
    <mergeCell ref="B128:C129"/>
    <mergeCell ref="D128:E128"/>
    <mergeCell ref="F128:H128"/>
    <mergeCell ref="I128:J128"/>
    <mergeCell ref="K128:L128"/>
    <mergeCell ref="D129:E129"/>
    <mergeCell ref="F129:H129"/>
    <mergeCell ref="I129:J129"/>
    <mergeCell ref="K129:L129"/>
    <mergeCell ref="B122:C123"/>
    <mergeCell ref="D122:E122"/>
    <mergeCell ref="F122:H122"/>
    <mergeCell ref="I122:J122"/>
    <mergeCell ref="K122:L122"/>
    <mergeCell ref="D123:E123"/>
    <mergeCell ref="F123:H123"/>
    <mergeCell ref="I123:J123"/>
    <mergeCell ref="K123:L123"/>
    <mergeCell ref="B124:C125"/>
    <mergeCell ref="D124:E124"/>
    <mergeCell ref="F124:H124"/>
    <mergeCell ref="I124:J124"/>
    <mergeCell ref="K124:L124"/>
    <mergeCell ref="D125:E125"/>
    <mergeCell ref="F125:H125"/>
    <mergeCell ref="I125:J125"/>
    <mergeCell ref="K125:L125"/>
    <mergeCell ref="B118:C119"/>
    <mergeCell ref="D118:E118"/>
    <mergeCell ref="F118:H118"/>
    <mergeCell ref="I118:J118"/>
    <mergeCell ref="K118:L118"/>
    <mergeCell ref="D119:E119"/>
    <mergeCell ref="F119:H119"/>
    <mergeCell ref="I119:J119"/>
    <mergeCell ref="K119:L119"/>
    <mergeCell ref="B120:C121"/>
    <mergeCell ref="D120:E120"/>
    <mergeCell ref="F120:H120"/>
    <mergeCell ref="I120:J120"/>
    <mergeCell ref="K120:L120"/>
    <mergeCell ref="D121:E121"/>
    <mergeCell ref="F121:H121"/>
    <mergeCell ref="I121:J121"/>
    <mergeCell ref="K121:L121"/>
    <mergeCell ref="B114:C115"/>
    <mergeCell ref="D114:E114"/>
    <mergeCell ref="F114:H114"/>
    <mergeCell ref="I114:J114"/>
    <mergeCell ref="K114:L114"/>
    <mergeCell ref="D115:E115"/>
    <mergeCell ref="F115:H115"/>
    <mergeCell ref="I115:J115"/>
    <mergeCell ref="K115:L115"/>
    <mergeCell ref="B116:C117"/>
    <mergeCell ref="D116:E116"/>
    <mergeCell ref="F116:H116"/>
    <mergeCell ref="I116:J116"/>
    <mergeCell ref="K116:L116"/>
    <mergeCell ref="D117:E117"/>
    <mergeCell ref="F117:H117"/>
    <mergeCell ref="I117:J117"/>
    <mergeCell ref="K117:L117"/>
    <mergeCell ref="B112:C113"/>
    <mergeCell ref="D112:E112"/>
    <mergeCell ref="F112:H112"/>
    <mergeCell ref="I112:J112"/>
    <mergeCell ref="K112:L112"/>
    <mergeCell ref="D113:E113"/>
    <mergeCell ref="F113:H113"/>
    <mergeCell ref="I113:J113"/>
    <mergeCell ref="K113:L113"/>
    <mergeCell ref="K67:L67"/>
    <mergeCell ref="I69:J69"/>
    <mergeCell ref="K69:L69"/>
    <mergeCell ref="F71:H71"/>
    <mergeCell ref="I71:J71"/>
    <mergeCell ref="K71:L71"/>
    <mergeCell ref="K70:L70"/>
    <mergeCell ref="I73:J73"/>
    <mergeCell ref="K73:L73"/>
    <mergeCell ref="D75:E75"/>
    <mergeCell ref="F75:H75"/>
    <mergeCell ref="I75:J75"/>
    <mergeCell ref="K75:L75"/>
    <mergeCell ref="I74:J74"/>
    <mergeCell ref="D74:E74"/>
    <mergeCell ref="F74:H74"/>
    <mergeCell ref="K74:L74"/>
    <mergeCell ref="F104:H104"/>
    <mergeCell ref="I104:J104"/>
    <mergeCell ref="K104:L104"/>
    <mergeCell ref="D105:E105"/>
    <mergeCell ref="F105:H105"/>
    <mergeCell ref="I105:J105"/>
    <mergeCell ref="A54:A55"/>
    <mergeCell ref="B54:C55"/>
    <mergeCell ref="I54:L54"/>
    <mergeCell ref="I55:J55"/>
    <mergeCell ref="A15:D15"/>
    <mergeCell ref="A16:D16"/>
    <mergeCell ref="A17:D17"/>
    <mergeCell ref="I48:J48"/>
    <mergeCell ref="I50:J50"/>
    <mergeCell ref="A46:A47"/>
    <mergeCell ref="D110:E110"/>
    <mergeCell ref="F110:H110"/>
    <mergeCell ref="I110:J110"/>
    <mergeCell ref="K110:L110"/>
    <mergeCell ref="D111:E111"/>
    <mergeCell ref="F111:H111"/>
    <mergeCell ref="I111:J111"/>
    <mergeCell ref="K111:L111"/>
    <mergeCell ref="I56:J56"/>
    <mergeCell ref="I58:J58"/>
    <mergeCell ref="K55:L55"/>
    <mergeCell ref="B102:C103"/>
    <mergeCell ref="D102:E102"/>
    <mergeCell ref="F102:H102"/>
    <mergeCell ref="I102:J102"/>
    <mergeCell ref="K102:L102"/>
    <mergeCell ref="D103:E103"/>
    <mergeCell ref="F103:H103"/>
    <mergeCell ref="I103:J103"/>
    <mergeCell ref="K103:L103"/>
    <mergeCell ref="B104:C105"/>
    <mergeCell ref="D104:E104"/>
    <mergeCell ref="K105:L105"/>
    <mergeCell ref="B100:C101"/>
    <mergeCell ref="D100:E100"/>
    <mergeCell ref="F100:H100"/>
    <mergeCell ref="I100:J100"/>
    <mergeCell ref="K100:L100"/>
    <mergeCell ref="D101:E101"/>
    <mergeCell ref="F101:H101"/>
    <mergeCell ref="I101:J101"/>
    <mergeCell ref="B74:C75"/>
    <mergeCell ref="K101:L101"/>
    <mergeCell ref="D65:E65"/>
    <mergeCell ref="D67:E67"/>
    <mergeCell ref="D71:E71"/>
    <mergeCell ref="D73:E73"/>
    <mergeCell ref="F65:H65"/>
    <mergeCell ref="I65:J65"/>
    <mergeCell ref="K65:L65"/>
    <mergeCell ref="F67:H67"/>
    <mergeCell ref="B96:C97"/>
    <mergeCell ref="D96:E96"/>
    <mergeCell ref="F96:H96"/>
    <mergeCell ref="I96:J96"/>
    <mergeCell ref="K96:L96"/>
    <mergeCell ref="D97:E97"/>
    <mergeCell ref="F97:H97"/>
    <mergeCell ref="I97:J97"/>
    <mergeCell ref="K97:L97"/>
    <mergeCell ref="B98:C99"/>
    <mergeCell ref="D98:E98"/>
    <mergeCell ref="F98:H98"/>
    <mergeCell ref="I98:J98"/>
    <mergeCell ref="K98:L98"/>
    <mergeCell ref="D99:E99"/>
    <mergeCell ref="F99:H99"/>
    <mergeCell ref="I99:J99"/>
    <mergeCell ref="K99:L99"/>
    <mergeCell ref="B92:C93"/>
    <mergeCell ref="D92:E92"/>
    <mergeCell ref="F92:H92"/>
    <mergeCell ref="I92:J92"/>
    <mergeCell ref="D93:E93"/>
    <mergeCell ref="B58:C59"/>
    <mergeCell ref="B90:C91"/>
    <mergeCell ref="K92:L92"/>
    <mergeCell ref="F93:H93"/>
    <mergeCell ref="I93:J93"/>
    <mergeCell ref="K93:L93"/>
    <mergeCell ref="B94:C95"/>
    <mergeCell ref="D94:E94"/>
    <mergeCell ref="F94:H94"/>
    <mergeCell ref="I94:J94"/>
    <mergeCell ref="K94:L94"/>
    <mergeCell ref="I59:J59"/>
    <mergeCell ref="D61:E61"/>
    <mergeCell ref="D95:E95"/>
    <mergeCell ref="F95:H95"/>
    <mergeCell ref="I95:J95"/>
    <mergeCell ref="K95:L95"/>
    <mergeCell ref="K59:L59"/>
    <mergeCell ref="F61:H61"/>
    <mergeCell ref="I61:J61"/>
    <mergeCell ref="K61:L61"/>
    <mergeCell ref="B88:C89"/>
    <mergeCell ref="D88:E88"/>
    <mergeCell ref="F88:H88"/>
    <mergeCell ref="I88:J88"/>
    <mergeCell ref="K88:L88"/>
    <mergeCell ref="D89:E89"/>
    <mergeCell ref="F89:H89"/>
    <mergeCell ref="I89:J89"/>
    <mergeCell ref="K89:L89"/>
    <mergeCell ref="D90:E90"/>
    <mergeCell ref="F90:H90"/>
    <mergeCell ref="I90:J90"/>
    <mergeCell ref="K90:L90"/>
    <mergeCell ref="D91:E91"/>
    <mergeCell ref="F91:H91"/>
    <mergeCell ref="I91:J91"/>
    <mergeCell ref="K91:L91"/>
    <mergeCell ref="B84:C85"/>
    <mergeCell ref="D84:E84"/>
    <mergeCell ref="F84:H84"/>
    <mergeCell ref="I84:J84"/>
    <mergeCell ref="K84:L84"/>
    <mergeCell ref="D85:E85"/>
    <mergeCell ref="F85:H85"/>
    <mergeCell ref="I85:J85"/>
    <mergeCell ref="K85:L85"/>
    <mergeCell ref="B86:C87"/>
    <mergeCell ref="D86:E86"/>
    <mergeCell ref="F86:H86"/>
    <mergeCell ref="I86:J86"/>
    <mergeCell ref="K86:L86"/>
    <mergeCell ref="D87:E87"/>
    <mergeCell ref="F87:H87"/>
    <mergeCell ref="I87:J87"/>
    <mergeCell ref="K87:L87"/>
    <mergeCell ref="B80:C81"/>
    <mergeCell ref="D80:E80"/>
    <mergeCell ref="F80:H80"/>
    <mergeCell ref="I80:J80"/>
    <mergeCell ref="K80:L80"/>
    <mergeCell ref="D81:E81"/>
    <mergeCell ref="F81:H81"/>
    <mergeCell ref="I81:J81"/>
    <mergeCell ref="K81:L81"/>
    <mergeCell ref="B82:C83"/>
    <mergeCell ref="D82:E82"/>
    <mergeCell ref="F82:H82"/>
    <mergeCell ref="I82:J82"/>
    <mergeCell ref="K82:L82"/>
    <mergeCell ref="D83:E83"/>
    <mergeCell ref="F83:H83"/>
    <mergeCell ref="I83:J83"/>
    <mergeCell ref="K83:L83"/>
    <mergeCell ref="B76:C77"/>
    <mergeCell ref="D76:E76"/>
    <mergeCell ref="F76:H76"/>
    <mergeCell ref="I76:J76"/>
    <mergeCell ref="D77:E77"/>
    <mergeCell ref="F77:H77"/>
    <mergeCell ref="I77:J77"/>
    <mergeCell ref="K76:L76"/>
    <mergeCell ref="K77:L77"/>
    <mergeCell ref="B78:C79"/>
    <mergeCell ref="D78:E78"/>
    <mergeCell ref="F78:H78"/>
    <mergeCell ref="I78:J78"/>
    <mergeCell ref="K78:L78"/>
    <mergeCell ref="D79:E79"/>
    <mergeCell ref="F79:H79"/>
    <mergeCell ref="I79:J79"/>
    <mergeCell ref="K79:L79"/>
    <mergeCell ref="K49:L49"/>
    <mergeCell ref="K51:L51"/>
    <mergeCell ref="K57:L57"/>
    <mergeCell ref="I53:J53"/>
    <mergeCell ref="B48:C49"/>
    <mergeCell ref="B50:C51"/>
    <mergeCell ref="B56:C57"/>
    <mergeCell ref="D49:E49"/>
    <mergeCell ref="D51:E51"/>
    <mergeCell ref="F68:H68"/>
    <mergeCell ref="F59:H59"/>
    <mergeCell ref="F63:H63"/>
    <mergeCell ref="D54:E55"/>
    <mergeCell ref="F54:H55"/>
    <mergeCell ref="B70:C71"/>
    <mergeCell ref="B72:C73"/>
    <mergeCell ref="I57:J57"/>
    <mergeCell ref="B60:C61"/>
    <mergeCell ref="D59:E59"/>
    <mergeCell ref="D70:E70"/>
    <mergeCell ref="F70:H70"/>
    <mergeCell ref="D72:E72"/>
    <mergeCell ref="I49:J49"/>
    <mergeCell ref="I51:J51"/>
    <mergeCell ref="D57:E57"/>
    <mergeCell ref="B62:C63"/>
    <mergeCell ref="B64:C65"/>
    <mergeCell ref="B66:C67"/>
    <mergeCell ref="I63:J63"/>
    <mergeCell ref="I67:J67"/>
    <mergeCell ref="D53:E53"/>
    <mergeCell ref="F53:H53"/>
    <mergeCell ref="K63:L63"/>
    <mergeCell ref="D66:E66"/>
    <mergeCell ref="F66:H66"/>
    <mergeCell ref="K66:L66"/>
    <mergeCell ref="D68:E68"/>
    <mergeCell ref="B68:C69"/>
    <mergeCell ref="D63:E63"/>
    <mergeCell ref="K68:L68"/>
    <mergeCell ref="D69:E69"/>
    <mergeCell ref="F69:H69"/>
    <mergeCell ref="F72:H72"/>
    <mergeCell ref="K72:L72"/>
    <mergeCell ref="K56:L56"/>
    <mergeCell ref="K58:L58"/>
    <mergeCell ref="K60:L60"/>
    <mergeCell ref="A1:L1"/>
    <mergeCell ref="A3:L3"/>
    <mergeCell ref="G38:H38"/>
    <mergeCell ref="I38:J38"/>
    <mergeCell ref="A35:B36"/>
    <mergeCell ref="B46:C47"/>
    <mergeCell ref="I47:J47"/>
    <mergeCell ref="K47:L47"/>
    <mergeCell ref="I46:L46"/>
    <mergeCell ref="A37:B38"/>
    <mergeCell ref="C37:D37"/>
    <mergeCell ref="E37:F38"/>
    <mergeCell ref="G37:H37"/>
    <mergeCell ref="I37:J37"/>
    <mergeCell ref="C38:D38"/>
    <mergeCell ref="K48:L48"/>
    <mergeCell ref="K50:L50"/>
    <mergeCell ref="A33:B34"/>
    <mergeCell ref="C33:D33"/>
    <mergeCell ref="E33:F34"/>
    <mergeCell ref="G33:H33"/>
    <mergeCell ref="I33:J33"/>
    <mergeCell ref="K33:L34"/>
    <mergeCell ref="C34:D34"/>
    <mergeCell ref="G34:H34"/>
    <mergeCell ref="I34:J34"/>
    <mergeCell ref="A32:B32"/>
    <mergeCell ref="C32:D32"/>
    <mergeCell ref="E32:F32"/>
    <mergeCell ref="G32:H32"/>
    <mergeCell ref="I32:J32"/>
    <mergeCell ref="K32:L32"/>
    <mergeCell ref="E10:J10"/>
    <mergeCell ref="E11:J11"/>
    <mergeCell ref="H16:J16"/>
    <mergeCell ref="H17:J17"/>
    <mergeCell ref="H18:J18"/>
    <mergeCell ref="H19:J19"/>
    <mergeCell ref="H20:J20"/>
    <mergeCell ref="A19:D19"/>
    <mergeCell ref="A20:D20"/>
    <mergeCell ref="A5:D5"/>
    <mergeCell ref="A6:D6"/>
    <mergeCell ref="A7:D7"/>
    <mergeCell ref="A8:D8"/>
    <mergeCell ref="A9:D9"/>
    <mergeCell ref="A10:D10"/>
    <mergeCell ref="E6:J6"/>
    <mergeCell ref="E7:J7"/>
    <mergeCell ref="E8:J8"/>
    <mergeCell ref="E9:J9"/>
    <mergeCell ref="D46:E47"/>
    <mergeCell ref="F46:H47"/>
    <mergeCell ref="A42:L42"/>
    <mergeCell ref="A39:B40"/>
    <mergeCell ref="C39:D39"/>
    <mergeCell ref="E39:F40"/>
    <mergeCell ref="G39:H39"/>
    <mergeCell ref="I39:J39"/>
    <mergeCell ref="C40:D40"/>
    <mergeCell ref="G40:H40"/>
    <mergeCell ref="I40:J40"/>
    <mergeCell ref="K35:L40"/>
    <mergeCell ref="A22:L22"/>
    <mergeCell ref="E15:G15"/>
    <mergeCell ref="E16:G16"/>
    <mergeCell ref="E17:G17"/>
    <mergeCell ref="E18:G18"/>
    <mergeCell ref="E19:G19"/>
    <mergeCell ref="E20:G20"/>
    <mergeCell ref="H15:J15"/>
    <mergeCell ref="A11:D11"/>
    <mergeCell ref="A18:D18"/>
    <mergeCell ref="E354:F354"/>
    <mergeCell ref="A359:C359"/>
    <mergeCell ref="A360:C360"/>
    <mergeCell ref="I164:L164"/>
    <mergeCell ref="A160:A164"/>
    <mergeCell ref="D215:D216"/>
    <mergeCell ref="E215:F216"/>
    <mergeCell ref="G215:H216"/>
    <mergeCell ref="H322:I322"/>
    <mergeCell ref="H325:I325"/>
    <mergeCell ref="G335:H335"/>
    <mergeCell ref="G336:H336"/>
    <mergeCell ref="G337:H337"/>
    <mergeCell ref="G338:H338"/>
    <mergeCell ref="G339:H339"/>
    <mergeCell ref="I335:J335"/>
    <mergeCell ref="I336:J336"/>
    <mergeCell ref="I337:J337"/>
    <mergeCell ref="I338:J338"/>
    <mergeCell ref="A355:C355"/>
    <mergeCell ref="A356:C356"/>
    <mergeCell ref="E347:F347"/>
    <mergeCell ref="G347:H347"/>
    <mergeCell ref="I347:J347"/>
    <mergeCell ref="A317:A322"/>
    <mergeCell ref="I339:J339"/>
    <mergeCell ref="G352:I352"/>
    <mergeCell ref="D324:E324"/>
    <mergeCell ref="H323:I323"/>
    <mergeCell ref="H324:I324"/>
    <mergeCell ref="C35:D35"/>
    <mergeCell ref="E35:F36"/>
    <mergeCell ref="G35:H35"/>
    <mergeCell ref="I35:J35"/>
    <mergeCell ref="C36:D36"/>
    <mergeCell ref="G36:H36"/>
    <mergeCell ref="I36:J36"/>
    <mergeCell ref="E353:F353"/>
    <mergeCell ref="G353:H353"/>
    <mergeCell ref="J352:L353"/>
    <mergeCell ref="A354:C354"/>
    <mergeCell ref="E357:F357"/>
    <mergeCell ref="E358:F358"/>
    <mergeCell ref="E359:F359"/>
    <mergeCell ref="E360:F360"/>
    <mergeCell ref="E361:F361"/>
    <mergeCell ref="E362:F362"/>
    <mergeCell ref="G357:H357"/>
    <mergeCell ref="G358:H358"/>
    <mergeCell ref="G359:H359"/>
    <mergeCell ref="G360:H360"/>
    <mergeCell ref="G361:H361"/>
    <mergeCell ref="G362:H362"/>
    <mergeCell ref="K62:L62"/>
    <mergeCell ref="K64:L64"/>
    <mergeCell ref="D48:E48"/>
    <mergeCell ref="D50:E50"/>
    <mergeCell ref="D56:E56"/>
    <mergeCell ref="D58:E58"/>
    <mergeCell ref="D60:E60"/>
    <mergeCell ref="D62:E62"/>
    <mergeCell ref="D64:E64"/>
    <mergeCell ref="G355:H355"/>
    <mergeCell ref="G356:H356"/>
    <mergeCell ref="J355:L362"/>
    <mergeCell ref="B110:C111"/>
    <mergeCell ref="K107:L107"/>
    <mergeCell ref="A102:A107"/>
    <mergeCell ref="I161:L161"/>
    <mergeCell ref="D162:E162"/>
    <mergeCell ref="F162:H162"/>
    <mergeCell ref="A357:C357"/>
    <mergeCell ref="G354:H354"/>
    <mergeCell ref="J354:L354"/>
    <mergeCell ref="E355:F355"/>
    <mergeCell ref="E356:F356"/>
    <mergeCell ref="A358:C358"/>
    <mergeCell ref="I162:L162"/>
    <mergeCell ref="B318:C318"/>
    <mergeCell ref="D317:E317"/>
    <mergeCell ref="D318:E318"/>
    <mergeCell ref="A348:C348"/>
    <mergeCell ref="E348:F348"/>
    <mergeCell ref="G348:H348"/>
    <mergeCell ref="I348:J348"/>
    <mergeCell ref="B324:C324"/>
    <mergeCell ref="A352:C353"/>
    <mergeCell ref="A361:C361"/>
    <mergeCell ref="A362:C362"/>
    <mergeCell ref="D352:F352"/>
    <mergeCell ref="A347:C347"/>
    <mergeCell ref="I163:L163"/>
    <mergeCell ref="B164:C164"/>
    <mergeCell ref="D164:E164"/>
    <mergeCell ref="K52:L52"/>
    <mergeCell ref="K53:L53"/>
    <mergeCell ref="B106:C107"/>
    <mergeCell ref="D106:E106"/>
    <mergeCell ref="F106:H106"/>
    <mergeCell ref="I106:J106"/>
    <mergeCell ref="K106:L106"/>
    <mergeCell ref="H328:I328"/>
    <mergeCell ref="B314:C314"/>
    <mergeCell ref="D314:E314"/>
    <mergeCell ref="F314:G314"/>
    <mergeCell ref="B315:C315"/>
    <mergeCell ref="D315:E315"/>
    <mergeCell ref="F315:G315"/>
    <mergeCell ref="B316:C316"/>
    <mergeCell ref="D316:E316"/>
    <mergeCell ref="B321:C321"/>
    <mergeCell ref="D319:E319"/>
    <mergeCell ref="D320:E320"/>
    <mergeCell ref="D321:E321"/>
    <mergeCell ref="D322:E322"/>
    <mergeCell ref="B322:C322"/>
    <mergeCell ref="B317:C317"/>
    <mergeCell ref="F56:H56"/>
    <mergeCell ref="F319:G319"/>
    <mergeCell ref="F320:G320"/>
    <mergeCell ref="F321:G321"/>
    <mergeCell ref="F322:G322"/>
    <mergeCell ref="B323:C323"/>
    <mergeCell ref="D323:E323"/>
    <mergeCell ref="F323:G323"/>
    <mergeCell ref="J323:L323"/>
    <mergeCell ref="A345:C345"/>
    <mergeCell ref="E345:F345"/>
    <mergeCell ref="G345:H345"/>
    <mergeCell ref="I345:J345"/>
    <mergeCell ref="A48:A53"/>
    <mergeCell ref="H326:I326"/>
    <mergeCell ref="H327:I327"/>
    <mergeCell ref="F48:H48"/>
    <mergeCell ref="F50:H50"/>
    <mergeCell ref="F58:H58"/>
    <mergeCell ref="F60:H60"/>
    <mergeCell ref="F49:H49"/>
    <mergeCell ref="F51:H51"/>
    <mergeCell ref="F57:H57"/>
    <mergeCell ref="F62:H62"/>
    <mergeCell ref="F64:H64"/>
    <mergeCell ref="B52:C53"/>
    <mergeCell ref="D52:E52"/>
    <mergeCell ref="F52:H52"/>
    <mergeCell ref="I52:J52"/>
    <mergeCell ref="H318:I318"/>
    <mergeCell ref="H319:I319"/>
    <mergeCell ref="F316:G316"/>
    <mergeCell ref="A308:C308"/>
    <mergeCell ref="D308:F308"/>
    <mergeCell ref="G308:I308"/>
    <mergeCell ref="A295:B303"/>
    <mergeCell ref="C295:D295"/>
    <mergeCell ref="E295:F295"/>
    <mergeCell ref="D107:E107"/>
    <mergeCell ref="F107:H107"/>
    <mergeCell ref="I107:J107"/>
    <mergeCell ref="A346:C346"/>
    <mergeCell ref="E346:F346"/>
    <mergeCell ref="G346:H346"/>
    <mergeCell ref="I346:J346"/>
    <mergeCell ref="H320:I320"/>
    <mergeCell ref="J317:L322"/>
    <mergeCell ref="F317:G317"/>
    <mergeCell ref="F318:G318"/>
    <mergeCell ref="B319:C319"/>
    <mergeCell ref="B320:C320"/>
    <mergeCell ref="D325:E325"/>
    <mergeCell ref="F325:G325"/>
    <mergeCell ref="B328:C328"/>
    <mergeCell ref="D328:E328"/>
    <mergeCell ref="F328:G328"/>
    <mergeCell ref="B329:C329"/>
    <mergeCell ref="D329:E329"/>
    <mergeCell ref="F329:G329"/>
    <mergeCell ref="H329:I329"/>
    <mergeCell ref="A323:A329"/>
    <mergeCell ref="A333:C334"/>
    <mergeCell ref="D333:F333"/>
    <mergeCell ref="E334:F334"/>
    <mergeCell ref="G333:J333"/>
    <mergeCell ref="G334:H334"/>
    <mergeCell ref="B326:C326"/>
    <mergeCell ref="D326:E326"/>
    <mergeCell ref="F326:G326"/>
    <mergeCell ref="B327:C327"/>
    <mergeCell ref="F324:G324"/>
    <mergeCell ref="J324:L329"/>
    <mergeCell ref="B325:C325"/>
    <mergeCell ref="H315:I315"/>
    <mergeCell ref="J315:L315"/>
    <mergeCell ref="A343:C344"/>
    <mergeCell ref="D343:F343"/>
    <mergeCell ref="G343:J343"/>
    <mergeCell ref="E344:F344"/>
    <mergeCell ref="G344:H344"/>
    <mergeCell ref="I344:J344"/>
    <mergeCell ref="H316:I316"/>
    <mergeCell ref="J316:L316"/>
    <mergeCell ref="H317:I317"/>
    <mergeCell ref="I334:J334"/>
    <mergeCell ref="D327:E327"/>
    <mergeCell ref="F327:G327"/>
    <mergeCell ref="A335:C335"/>
    <mergeCell ref="A336:C336"/>
    <mergeCell ref="A337:C337"/>
    <mergeCell ref="A338:C338"/>
    <mergeCell ref="A339:C339"/>
    <mergeCell ref="E335:F335"/>
    <mergeCell ref="E336:F336"/>
    <mergeCell ref="E337:F337"/>
    <mergeCell ref="E338:F338"/>
    <mergeCell ref="E339:F339"/>
    <mergeCell ref="C300:D300"/>
    <mergeCell ref="E300:F300"/>
    <mergeCell ref="G300:H300"/>
    <mergeCell ref="I300:L300"/>
    <mergeCell ref="C301:D301"/>
    <mergeCell ref="E301:F301"/>
    <mergeCell ref="G301:H301"/>
    <mergeCell ref="I301:L301"/>
    <mergeCell ref="C302:D302"/>
    <mergeCell ref="E302:F302"/>
    <mergeCell ref="G302:H302"/>
    <mergeCell ref="I302:L302"/>
    <mergeCell ref="C303:D303"/>
    <mergeCell ref="E303:F303"/>
    <mergeCell ref="G303:H303"/>
    <mergeCell ref="I303:L303"/>
    <mergeCell ref="H314:I314"/>
    <mergeCell ref="J314:L314"/>
    <mergeCell ref="G295:H295"/>
    <mergeCell ref="I295:L295"/>
    <mergeCell ref="C296:D296"/>
    <mergeCell ref="E296:F296"/>
    <mergeCell ref="G296:H296"/>
    <mergeCell ref="I296:L296"/>
    <mergeCell ref="E297:F297"/>
    <mergeCell ref="G297:H297"/>
    <mergeCell ref="I297:L297"/>
    <mergeCell ref="C298:D298"/>
    <mergeCell ref="E298:F298"/>
    <mergeCell ref="G298:H298"/>
    <mergeCell ref="I298:L298"/>
    <mergeCell ref="C297:D297"/>
    <mergeCell ref="C299:D299"/>
    <mergeCell ref="E299:F299"/>
    <mergeCell ref="G299:H299"/>
    <mergeCell ref="I299:L299"/>
    <mergeCell ref="G290:H290"/>
    <mergeCell ref="I290:L290"/>
    <mergeCell ref="C291:D291"/>
    <mergeCell ref="E291:F291"/>
    <mergeCell ref="G291:H291"/>
    <mergeCell ref="I291:L291"/>
    <mergeCell ref="C292:D292"/>
    <mergeCell ref="E292:F292"/>
    <mergeCell ref="G292:H292"/>
    <mergeCell ref="I292:L292"/>
    <mergeCell ref="C293:D293"/>
    <mergeCell ref="E293:F293"/>
    <mergeCell ref="G293:H293"/>
    <mergeCell ref="I293:L293"/>
    <mergeCell ref="C294:D294"/>
    <mergeCell ref="E294:F294"/>
    <mergeCell ref="G294:H294"/>
    <mergeCell ref="I294:L294"/>
    <mergeCell ref="I282:L282"/>
    <mergeCell ref="C283:D283"/>
    <mergeCell ref="E283:F283"/>
    <mergeCell ref="G283:H283"/>
    <mergeCell ref="I283:L283"/>
    <mergeCell ref="C284:D284"/>
    <mergeCell ref="E284:F284"/>
    <mergeCell ref="G284:H284"/>
    <mergeCell ref="I284:L284"/>
    <mergeCell ref="C285:D285"/>
    <mergeCell ref="E285:F285"/>
    <mergeCell ref="G285:H285"/>
    <mergeCell ref="I285:L285"/>
    <mergeCell ref="A286:B294"/>
    <mergeCell ref="C286:D286"/>
    <mergeCell ref="E286:F286"/>
    <mergeCell ref="G286:H286"/>
    <mergeCell ref="I286:L286"/>
    <mergeCell ref="C287:D287"/>
    <mergeCell ref="E287:F287"/>
    <mergeCell ref="G287:H287"/>
    <mergeCell ref="I287:L287"/>
    <mergeCell ref="C288:D288"/>
    <mergeCell ref="E288:F288"/>
    <mergeCell ref="G288:H288"/>
    <mergeCell ref="I288:L288"/>
    <mergeCell ref="C289:D289"/>
    <mergeCell ref="E289:F289"/>
    <mergeCell ref="G289:H289"/>
    <mergeCell ref="I289:L289"/>
    <mergeCell ref="C290:D290"/>
    <mergeCell ref="E290:F290"/>
    <mergeCell ref="I269:L269"/>
    <mergeCell ref="I270:L270"/>
    <mergeCell ref="I271:L271"/>
    <mergeCell ref="I272:L272"/>
    <mergeCell ref="I273:L273"/>
    <mergeCell ref="I274:L274"/>
    <mergeCell ref="I275:L275"/>
    <mergeCell ref="I276:L276"/>
    <mergeCell ref="A277:B285"/>
    <mergeCell ref="C277:D277"/>
    <mergeCell ref="E277:F277"/>
    <mergeCell ref="G277:H277"/>
    <mergeCell ref="I277:L277"/>
    <mergeCell ref="C278:D278"/>
    <mergeCell ref="E278:F278"/>
    <mergeCell ref="G278:H278"/>
    <mergeCell ref="I278:L278"/>
    <mergeCell ref="C279:D279"/>
    <mergeCell ref="E279:F279"/>
    <mergeCell ref="G279:H279"/>
    <mergeCell ref="I279:L279"/>
    <mergeCell ref="C280:D280"/>
    <mergeCell ref="E280:F280"/>
    <mergeCell ref="G280:H280"/>
    <mergeCell ref="I280:L280"/>
    <mergeCell ref="C281:D281"/>
    <mergeCell ref="E281:F281"/>
    <mergeCell ref="G281:H281"/>
    <mergeCell ref="I281:L281"/>
    <mergeCell ref="C282:D282"/>
    <mergeCell ref="E282:F282"/>
    <mergeCell ref="G282:H282"/>
    <mergeCell ref="A307:C307"/>
    <mergeCell ref="D307:F307"/>
    <mergeCell ref="G307:I30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A268:B276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G268:H268"/>
    <mergeCell ref="G269:H269"/>
    <mergeCell ref="G270:H270"/>
    <mergeCell ref="G271:H271"/>
    <mergeCell ref="G272:H272"/>
    <mergeCell ref="G273:H273"/>
    <mergeCell ref="G274:H274"/>
    <mergeCell ref="G275:H275"/>
    <mergeCell ref="G276:H276"/>
    <mergeCell ref="I268:L268"/>
    <mergeCell ref="B173:C173"/>
    <mergeCell ref="D160:E160"/>
    <mergeCell ref="D166:E166"/>
    <mergeCell ref="B165:C165"/>
    <mergeCell ref="D165:E165"/>
    <mergeCell ref="F165:H165"/>
    <mergeCell ref="B166:C166"/>
    <mergeCell ref="B167:C167"/>
    <mergeCell ref="B168:C168"/>
    <mergeCell ref="B169:C169"/>
    <mergeCell ref="D173:E173"/>
    <mergeCell ref="D169:E169"/>
    <mergeCell ref="D170:E170"/>
    <mergeCell ref="B170:C170"/>
    <mergeCell ref="B160:C160"/>
    <mergeCell ref="E242:F242"/>
    <mergeCell ref="B161:C161"/>
    <mergeCell ref="D161:E161"/>
    <mergeCell ref="F161:H161"/>
    <mergeCell ref="B162:C162"/>
    <mergeCell ref="D172:E172"/>
    <mergeCell ref="B171:C171"/>
    <mergeCell ref="B172:C172"/>
    <mergeCell ref="B163:C163"/>
    <mergeCell ref="D163:E163"/>
    <mergeCell ref="F163:H163"/>
    <mergeCell ref="B174:C174"/>
    <mergeCell ref="D174:E174"/>
    <mergeCell ref="F174:H174"/>
    <mergeCell ref="B180:C180"/>
    <mergeCell ref="D180:E180"/>
    <mergeCell ref="F180:H180"/>
    <mergeCell ref="I160:L160"/>
    <mergeCell ref="I171:L171"/>
    <mergeCell ref="I172:L172"/>
    <mergeCell ref="I173:L173"/>
    <mergeCell ref="I166:L166"/>
    <mergeCell ref="I167:L167"/>
    <mergeCell ref="I168:L168"/>
    <mergeCell ref="I169:L169"/>
    <mergeCell ref="I170:L170"/>
    <mergeCell ref="D171:E171"/>
    <mergeCell ref="F169:H169"/>
    <mergeCell ref="F170:H170"/>
    <mergeCell ref="F171:H171"/>
    <mergeCell ref="F172:H172"/>
    <mergeCell ref="F173:H173"/>
    <mergeCell ref="F160:H160"/>
    <mergeCell ref="F166:H166"/>
    <mergeCell ref="F167:H167"/>
    <mergeCell ref="F168:H168"/>
    <mergeCell ref="D167:E167"/>
    <mergeCell ref="D168:E168"/>
    <mergeCell ref="I165:L165"/>
    <mergeCell ref="F164:H164"/>
    <mergeCell ref="B178:C178"/>
    <mergeCell ref="D178:E178"/>
    <mergeCell ref="F178:H178"/>
    <mergeCell ref="I178:L178"/>
    <mergeCell ref="B179:C179"/>
    <mergeCell ref="D179:E179"/>
    <mergeCell ref="F179:H179"/>
    <mergeCell ref="I179:L179"/>
    <mergeCell ref="B176:C176"/>
    <mergeCell ref="D176:E176"/>
    <mergeCell ref="F176:H176"/>
    <mergeCell ref="I176:L176"/>
    <mergeCell ref="B177:C177"/>
    <mergeCell ref="D177:E177"/>
    <mergeCell ref="F177:H177"/>
    <mergeCell ref="I177:L177"/>
    <mergeCell ref="I174:L174"/>
    <mergeCell ref="B175:C175"/>
    <mergeCell ref="D175:E175"/>
    <mergeCell ref="F175:H175"/>
    <mergeCell ref="I175:L175"/>
    <mergeCell ref="B184:C184"/>
    <mergeCell ref="D184:E184"/>
    <mergeCell ref="F184:H184"/>
    <mergeCell ref="I184:L184"/>
    <mergeCell ref="B185:C185"/>
    <mergeCell ref="D185:E185"/>
    <mergeCell ref="F185:H185"/>
    <mergeCell ref="I185:L185"/>
    <mergeCell ref="B182:C182"/>
    <mergeCell ref="D182:E182"/>
    <mergeCell ref="F182:H182"/>
    <mergeCell ref="I182:L182"/>
    <mergeCell ref="B183:C183"/>
    <mergeCell ref="D183:E183"/>
    <mergeCell ref="F183:H183"/>
    <mergeCell ref="I183:L183"/>
    <mergeCell ref="I180:L180"/>
    <mergeCell ref="B181:C181"/>
    <mergeCell ref="D181:E181"/>
    <mergeCell ref="F181:H181"/>
    <mergeCell ref="I181:L181"/>
    <mergeCell ref="B189:C189"/>
    <mergeCell ref="D189:E189"/>
    <mergeCell ref="F189:H189"/>
    <mergeCell ref="I189:L189"/>
    <mergeCell ref="B190:C190"/>
    <mergeCell ref="D190:E190"/>
    <mergeCell ref="F190:H190"/>
    <mergeCell ref="I190:L190"/>
    <mergeCell ref="B187:C187"/>
    <mergeCell ref="D187:E187"/>
    <mergeCell ref="F187:H187"/>
    <mergeCell ref="I187:L187"/>
    <mergeCell ref="B188:C188"/>
    <mergeCell ref="D188:E188"/>
    <mergeCell ref="F188:H188"/>
    <mergeCell ref="I188:L188"/>
    <mergeCell ref="I186:L186"/>
    <mergeCell ref="B186:C186"/>
    <mergeCell ref="D186:E186"/>
    <mergeCell ref="F186:H186"/>
    <mergeCell ref="B195:C195"/>
    <mergeCell ref="D195:E195"/>
    <mergeCell ref="F195:H195"/>
    <mergeCell ref="I195:L195"/>
    <mergeCell ref="B196:C196"/>
    <mergeCell ref="D196:E196"/>
    <mergeCell ref="F196:H196"/>
    <mergeCell ref="I196:L196"/>
    <mergeCell ref="B193:C193"/>
    <mergeCell ref="D193:E193"/>
    <mergeCell ref="F193:H193"/>
    <mergeCell ref="I193:L193"/>
    <mergeCell ref="B194:C194"/>
    <mergeCell ref="D194:E194"/>
    <mergeCell ref="F194:H194"/>
    <mergeCell ref="I194:L194"/>
    <mergeCell ref="I191:L191"/>
    <mergeCell ref="B192:C192"/>
    <mergeCell ref="D192:E192"/>
    <mergeCell ref="F192:H192"/>
    <mergeCell ref="I192:L192"/>
    <mergeCell ref="B191:C191"/>
    <mergeCell ref="D191:E191"/>
    <mergeCell ref="F191:H191"/>
    <mergeCell ref="B200:C200"/>
    <mergeCell ref="D200:E200"/>
    <mergeCell ref="F200:H200"/>
    <mergeCell ref="I200:L200"/>
    <mergeCell ref="B201:C201"/>
    <mergeCell ref="D201:E201"/>
    <mergeCell ref="F201:H201"/>
    <mergeCell ref="I201:L201"/>
    <mergeCell ref="B199:C199"/>
    <mergeCell ref="D199:E199"/>
    <mergeCell ref="F199:H199"/>
    <mergeCell ref="I199:L199"/>
    <mergeCell ref="B197:C197"/>
    <mergeCell ref="D197:E197"/>
    <mergeCell ref="F197:H197"/>
    <mergeCell ref="I197:L197"/>
    <mergeCell ref="B198:C198"/>
    <mergeCell ref="D198:E198"/>
    <mergeCell ref="F198:H198"/>
    <mergeCell ref="I198:L198"/>
    <mergeCell ref="B208:C208"/>
    <mergeCell ref="D208:E208"/>
    <mergeCell ref="F208:H208"/>
    <mergeCell ref="I208:L208"/>
    <mergeCell ref="B209:C209"/>
    <mergeCell ref="D209:E209"/>
    <mergeCell ref="F209:H209"/>
    <mergeCell ref="I209:L209"/>
    <mergeCell ref="B206:C206"/>
    <mergeCell ref="D206:E206"/>
    <mergeCell ref="F206:H206"/>
    <mergeCell ref="I206:L206"/>
    <mergeCell ref="B207:C207"/>
    <mergeCell ref="D207:E207"/>
    <mergeCell ref="F207:H207"/>
    <mergeCell ref="I207:L207"/>
    <mergeCell ref="F203:H203"/>
    <mergeCell ref="I203:L203"/>
    <mergeCell ref="K218:L218"/>
    <mergeCell ref="G242:H242"/>
    <mergeCell ref="I242:J242"/>
    <mergeCell ref="K242:L242"/>
    <mergeCell ref="G267:H267"/>
    <mergeCell ref="B217:C218"/>
    <mergeCell ref="I217:J217"/>
    <mergeCell ref="K217:L217"/>
    <mergeCell ref="B243:C244"/>
    <mergeCell ref="E243:F243"/>
    <mergeCell ref="G243:H243"/>
    <mergeCell ref="I243:J243"/>
    <mergeCell ref="K243:L243"/>
    <mergeCell ref="E244:F244"/>
    <mergeCell ref="G244:H244"/>
    <mergeCell ref="I219:J219"/>
    <mergeCell ref="K219:L219"/>
    <mergeCell ref="I220:J220"/>
    <mergeCell ref="K220:L220"/>
    <mergeCell ref="B239:C240"/>
    <mergeCell ref="E239:F239"/>
    <mergeCell ref="G239:H239"/>
    <mergeCell ref="I239:J239"/>
    <mergeCell ref="K239:L239"/>
    <mergeCell ref="E240:F240"/>
    <mergeCell ref="I267:L267"/>
    <mergeCell ref="A267:B267"/>
    <mergeCell ref="C267:D267"/>
    <mergeCell ref="E267:F267"/>
    <mergeCell ref="A166:A173"/>
    <mergeCell ref="A174:A186"/>
    <mergeCell ref="A187:A199"/>
    <mergeCell ref="A200:A212"/>
    <mergeCell ref="A215:A216"/>
    <mergeCell ref="B215:C216"/>
    <mergeCell ref="B212:C212"/>
    <mergeCell ref="D212:E212"/>
    <mergeCell ref="F212:H212"/>
    <mergeCell ref="I212:L212"/>
    <mergeCell ref="B205:C205"/>
    <mergeCell ref="D205:E205"/>
    <mergeCell ref="F205:H205"/>
    <mergeCell ref="I205:L205"/>
    <mergeCell ref="B202:C202"/>
    <mergeCell ref="D202:E202"/>
    <mergeCell ref="F202:H202"/>
    <mergeCell ref="B204:C204"/>
    <mergeCell ref="D204:E204"/>
    <mergeCell ref="F204:H204"/>
    <mergeCell ref="I204:L204"/>
    <mergeCell ref="I202:L202"/>
    <mergeCell ref="B203:C203"/>
    <mergeCell ref="D203:E203"/>
    <mergeCell ref="B210:C210"/>
    <mergeCell ref="D210:E210"/>
    <mergeCell ref="F210:H210"/>
    <mergeCell ref="I210:L210"/>
    <mergeCell ref="B211:C211"/>
    <mergeCell ref="D211:E211"/>
    <mergeCell ref="F211:H211"/>
    <mergeCell ref="I211:L211"/>
    <mergeCell ref="G240:H240"/>
    <mergeCell ref="I240:J240"/>
    <mergeCell ref="K240:L240"/>
    <mergeCell ref="A241:A252"/>
    <mergeCell ref="B241:C242"/>
    <mergeCell ref="E241:F241"/>
    <mergeCell ref="G241:H241"/>
    <mergeCell ref="I241:J241"/>
    <mergeCell ref="K241:L241"/>
    <mergeCell ref="E235:F235"/>
    <mergeCell ref="G235:H235"/>
    <mergeCell ref="I235:J235"/>
    <mergeCell ref="K235:L235"/>
    <mergeCell ref="E236:F236"/>
    <mergeCell ref="G236:H236"/>
    <mergeCell ref="I236:J236"/>
    <mergeCell ref="K236:L236"/>
    <mergeCell ref="B237:C238"/>
    <mergeCell ref="E237:F237"/>
    <mergeCell ref="G237:H237"/>
    <mergeCell ref="I237:J237"/>
    <mergeCell ref="K237:L237"/>
    <mergeCell ref="E238:F238"/>
    <mergeCell ref="G238:H238"/>
    <mergeCell ref="I238:J238"/>
    <mergeCell ref="B251:C252"/>
    <mergeCell ref="E251:F251"/>
    <mergeCell ref="G251:H251"/>
    <mergeCell ref="I251:J251"/>
    <mergeCell ref="K251:L251"/>
    <mergeCell ref="E252:F252"/>
    <mergeCell ref="G252:H252"/>
    <mergeCell ref="K224:L224"/>
    <mergeCell ref="B225:C226"/>
    <mergeCell ref="I225:J225"/>
    <mergeCell ref="K225:L225"/>
    <mergeCell ref="I226:J226"/>
    <mergeCell ref="K226:L226"/>
    <mergeCell ref="G226:H226"/>
    <mergeCell ref="K238:L238"/>
    <mergeCell ref="B223:C224"/>
    <mergeCell ref="I223:J223"/>
    <mergeCell ref="K223:L223"/>
    <mergeCell ref="I224:J224"/>
    <mergeCell ref="E217:F217"/>
    <mergeCell ref="E218:F218"/>
    <mergeCell ref="I232:J232"/>
    <mergeCell ref="I218:J218"/>
    <mergeCell ref="I230:J230"/>
    <mergeCell ref="G217:H217"/>
    <mergeCell ref="G218:H218"/>
    <mergeCell ref="K232:L232"/>
    <mergeCell ref="B233:C234"/>
    <mergeCell ref="E233:F233"/>
    <mergeCell ref="G233:H233"/>
    <mergeCell ref="I233:J233"/>
    <mergeCell ref="K233:L233"/>
    <mergeCell ref="E234:F234"/>
    <mergeCell ref="G234:H234"/>
    <mergeCell ref="I234:J234"/>
    <mergeCell ref="K234:L234"/>
    <mergeCell ref="B227:C228"/>
    <mergeCell ref="I227:J227"/>
    <mergeCell ref="K227:L227"/>
    <mergeCell ref="I228:J228"/>
    <mergeCell ref="K228:L228"/>
    <mergeCell ref="E227:F227"/>
    <mergeCell ref="G227:H227"/>
    <mergeCell ref="G228:H228"/>
    <mergeCell ref="E223:F223"/>
    <mergeCell ref="B221:C222"/>
    <mergeCell ref="I221:J221"/>
    <mergeCell ref="K221:L221"/>
    <mergeCell ref="I222:J222"/>
    <mergeCell ref="K222:L222"/>
    <mergeCell ref="B219:C220"/>
    <mergeCell ref="A229:A240"/>
    <mergeCell ref="B229:C230"/>
    <mergeCell ref="E229:F229"/>
    <mergeCell ref="G229:H229"/>
    <mergeCell ref="E230:F230"/>
    <mergeCell ref="G230:H230"/>
    <mergeCell ref="B231:C232"/>
    <mergeCell ref="E231:F231"/>
    <mergeCell ref="G219:H219"/>
    <mergeCell ref="I229:J229"/>
    <mergeCell ref="K229:L229"/>
    <mergeCell ref="E224:F224"/>
    <mergeCell ref="E225:F225"/>
    <mergeCell ref="E226:F226"/>
    <mergeCell ref="E219:F219"/>
    <mergeCell ref="G220:H220"/>
    <mergeCell ref="G221:H221"/>
    <mergeCell ref="G222:H222"/>
    <mergeCell ref="K230:L230"/>
    <mergeCell ref="G231:H231"/>
    <mergeCell ref="I256:J256"/>
    <mergeCell ref="K256:L256"/>
    <mergeCell ref="I231:J231"/>
    <mergeCell ref="K231:L231"/>
    <mergeCell ref="E221:F221"/>
    <mergeCell ref="E222:F222"/>
    <mergeCell ref="E228:F228"/>
    <mergeCell ref="G223:H223"/>
    <mergeCell ref="G224:H224"/>
    <mergeCell ref="G225:H225"/>
    <mergeCell ref="E220:F220"/>
    <mergeCell ref="E232:F232"/>
    <mergeCell ref="G232:H232"/>
    <mergeCell ref="B235:C236"/>
    <mergeCell ref="B247:C248"/>
    <mergeCell ref="E247:F247"/>
    <mergeCell ref="G247:H247"/>
    <mergeCell ref="I247:J247"/>
    <mergeCell ref="K247:L247"/>
    <mergeCell ref="E248:F248"/>
    <mergeCell ref="G248:H248"/>
    <mergeCell ref="I248:J248"/>
    <mergeCell ref="K248:L248"/>
    <mergeCell ref="B245:C246"/>
    <mergeCell ref="E245:F245"/>
    <mergeCell ref="G245:H245"/>
    <mergeCell ref="I245:J245"/>
    <mergeCell ref="K245:L245"/>
    <mergeCell ref="E246:F246"/>
    <mergeCell ref="G246:H246"/>
    <mergeCell ref="I246:J246"/>
    <mergeCell ref="K246:L246"/>
    <mergeCell ref="K260:L260"/>
    <mergeCell ref="B257:C258"/>
    <mergeCell ref="E257:F257"/>
    <mergeCell ref="G257:H257"/>
    <mergeCell ref="I257:J257"/>
    <mergeCell ref="K257:L257"/>
    <mergeCell ref="E258:F258"/>
    <mergeCell ref="G258:H258"/>
    <mergeCell ref="I258:J258"/>
    <mergeCell ref="K258:L258"/>
    <mergeCell ref="B263:C264"/>
    <mergeCell ref="E263:F263"/>
    <mergeCell ref="G263:H263"/>
    <mergeCell ref="I263:J263"/>
    <mergeCell ref="I252:J252"/>
    <mergeCell ref="K252:L252"/>
    <mergeCell ref="B249:C250"/>
    <mergeCell ref="E249:F249"/>
    <mergeCell ref="G249:H249"/>
    <mergeCell ref="I249:J249"/>
    <mergeCell ref="K249:L249"/>
    <mergeCell ref="E250:F250"/>
    <mergeCell ref="G250:H250"/>
    <mergeCell ref="I250:J250"/>
    <mergeCell ref="K250:L250"/>
    <mergeCell ref="B255:C256"/>
    <mergeCell ref="E255:F255"/>
    <mergeCell ref="G255:H255"/>
    <mergeCell ref="I255:J255"/>
    <mergeCell ref="K255:L255"/>
    <mergeCell ref="E256:F256"/>
    <mergeCell ref="G256:H256"/>
    <mergeCell ref="K263:L263"/>
    <mergeCell ref="E264:F264"/>
    <mergeCell ref="G264:H264"/>
    <mergeCell ref="I264:J264"/>
    <mergeCell ref="K264:L264"/>
    <mergeCell ref="B261:C262"/>
    <mergeCell ref="E261:F261"/>
    <mergeCell ref="G261:H261"/>
    <mergeCell ref="I261:J261"/>
    <mergeCell ref="K261:L261"/>
    <mergeCell ref="E262:F262"/>
    <mergeCell ref="G262:H262"/>
    <mergeCell ref="I262:J262"/>
    <mergeCell ref="K262:L262"/>
    <mergeCell ref="A253:A264"/>
    <mergeCell ref="B253:C254"/>
    <mergeCell ref="E253:F253"/>
    <mergeCell ref="G253:H253"/>
    <mergeCell ref="I253:J253"/>
    <mergeCell ref="K253:L253"/>
    <mergeCell ref="E254:F254"/>
    <mergeCell ref="G254:H254"/>
    <mergeCell ref="I254:J254"/>
    <mergeCell ref="K254:L254"/>
    <mergeCell ref="B259:C260"/>
    <mergeCell ref="E259:F259"/>
    <mergeCell ref="G259:H259"/>
    <mergeCell ref="I259:J259"/>
    <mergeCell ref="K259:L259"/>
    <mergeCell ref="E260:F260"/>
    <mergeCell ref="G260:H260"/>
    <mergeCell ref="I260:J260"/>
  </mergeCells>
  <phoneticPr fontId="0" type="noConversion"/>
  <pageMargins left="0.70866141732283472" right="0.39370078740157483" top="0.59055118110236227" bottom="0.59055118110236227" header="0.51181102362204722" footer="0.31496062992125984"/>
  <pageSetup paperSize="9" orientation="portrait" r:id="rId1"/>
  <headerFooter alignWithMargins="0">
    <oddFooter>&amp;R&amp;"Times New Roman,обычный"Страница &amp;P из &amp;N</oddFooter>
  </headerFooter>
  <rowBreaks count="1" manualBreakCount="1">
    <brk id="21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2024-09-11T07:52:46Z</cp:lastPrinted>
  <dcterms:created xsi:type="dcterms:W3CDTF">1996-10-08T23:32:33Z</dcterms:created>
  <dcterms:modified xsi:type="dcterms:W3CDTF">2026-04-24T12:25:49Z</dcterms:modified>
</cp:coreProperties>
</file>