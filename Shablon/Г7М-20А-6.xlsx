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9540" windowHeight="126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E46" i="1" l="1"/>
  <c r="E47" i="1"/>
  <c r="E48" i="1"/>
  <c r="E49" i="1"/>
  <c r="E50" i="1"/>
  <c r="E51" i="1"/>
  <c r="E52" i="1"/>
  <c r="E53" i="1"/>
  <c r="E54" i="1"/>
  <c r="E45" i="1"/>
  <c r="E40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59" i="1"/>
</calcChain>
</file>

<file path=xl/sharedStrings.xml><?xml version="1.0" encoding="utf-8"?>
<sst xmlns="http://schemas.openxmlformats.org/spreadsheetml/2006/main" count="264" uniqueCount="215">
  <si>
    <t>MY54490652</t>
  </si>
  <si>
    <t>Параметр</t>
  </si>
  <si>
    <t>Действительные значения</t>
  </si>
  <si>
    <t>Допускаемые значения</t>
  </si>
  <si>
    <t>Pуст, дБм</t>
  </si>
  <si>
    <t>Pизм, дБм</t>
  </si>
  <si>
    <t>ΔP, дБм</t>
  </si>
  <si>
    <t>Допуск, дБм</t>
  </si>
  <si>
    <t>Допуск не более, дБн</t>
  </si>
  <si>
    <t>Дата:</t>
  </si>
  <si>
    <t>± 1</t>
  </si>
  <si>
    <t>±1</t>
  </si>
  <si>
    <t>Fуст, МГц</t>
  </si>
  <si>
    <r>
      <t>F</t>
    </r>
    <r>
      <rPr>
        <vertAlign val="subscript"/>
        <sz val="10"/>
        <rFont val="Times New Roman"/>
        <family val="1"/>
        <charset val="204"/>
      </rPr>
      <t>уст</t>
    </r>
    <r>
      <rPr>
        <sz val="10"/>
        <rFont val="Times New Roman"/>
        <family val="1"/>
        <charset val="204"/>
      </rPr>
      <t>, МГц</t>
    </r>
  </si>
  <si>
    <t>периодическая</t>
  </si>
  <si>
    <t>1 год</t>
  </si>
  <si>
    <t>Температура окружающей среды, °С</t>
  </si>
  <si>
    <t>от 18 до 28</t>
  </si>
  <si>
    <t>Относительная влажность воздуха, %</t>
  </si>
  <si>
    <t>от 30 до 80</t>
  </si>
  <si>
    <t>Атмосферное давление, кПа</t>
  </si>
  <si>
    <t>от 85 до 105</t>
  </si>
  <si>
    <t>Условия проведения поверки (калибровки):</t>
  </si>
  <si>
    <t>Эталоны:</t>
  </si>
  <si>
    <t>Наименование, тип</t>
  </si>
  <si>
    <t>Заводской номер</t>
  </si>
  <si>
    <t>рег.№</t>
  </si>
  <si>
    <t>Стандарт частоты, Ч1-93</t>
  </si>
  <si>
    <t>Частотомер, FCA3120</t>
  </si>
  <si>
    <t>Анализатор спектра, N9030A</t>
  </si>
  <si>
    <t>52796-13</t>
  </si>
  <si>
    <t xml:space="preserve"> СИНТЕЗАТОРЫ ЧАСТОТ Г7М-20А. Методика поверки МП РТ 1846-2012 (ЖНКЮ.467871.145 Д3)</t>
  </si>
  <si>
    <r>
      <t xml:space="preserve">1 Внешний осмотр: </t>
    </r>
    <r>
      <rPr>
        <b/>
        <i/>
        <sz val="10"/>
        <rFont val="Times New Roman"/>
        <family val="1"/>
        <charset val="204"/>
      </rPr>
      <t>соответствует п.8.1</t>
    </r>
  </si>
  <si>
    <r>
      <t xml:space="preserve">2 Опробование: </t>
    </r>
    <r>
      <rPr>
        <b/>
        <i/>
        <sz val="10"/>
        <rFont val="Times New Roman"/>
        <family val="1"/>
        <charset val="204"/>
      </rPr>
      <t>соответствует п.8.2</t>
    </r>
  </si>
  <si>
    <r>
      <t xml:space="preserve">3 Проверка программного обеспечения: </t>
    </r>
    <r>
      <rPr>
        <b/>
        <i/>
        <sz val="10"/>
        <rFont val="Times New Roman"/>
        <family val="1"/>
        <charset val="204"/>
      </rPr>
      <t>соответствует п.8.3</t>
    </r>
  </si>
  <si>
    <t>4 Определение метрологических характеристик (п.8)</t>
  </si>
  <si>
    <t>Fном, МГц</t>
  </si>
  <si>
    <t>Fизм, МГц</t>
  </si>
  <si>
    <t>АТА/110</t>
  </si>
  <si>
    <t>±1,5</t>
  </si>
  <si>
    <t>4.1 Проверка относительной погрешности частоты внутреннего опорного генератора п.8.4.1</t>
  </si>
  <si>
    <t>4.2 Проверка диапазона рабочих частот и определение относительной погрешности установки частоты.  п.8.4.2</t>
  </si>
  <si>
    <t>обазначения</t>
  </si>
  <si>
    <t>L2</t>
  </si>
  <si>
    <t>L3</t>
  </si>
  <si>
    <t>Lc2</t>
  </si>
  <si>
    <t>Lc3</t>
  </si>
  <si>
    <t>Lk3/2</t>
  </si>
  <si>
    <t>Lk2/3</t>
  </si>
  <si>
    <t>ΔAизм, дБн</t>
  </si>
  <si>
    <t>Lнг</t>
  </si>
  <si>
    <t>4.4 Определение относительных уровней гармонических, субгармонических и комбинационных, а также негармонических составляющих в спектре выходного сигнала п.8.4.4</t>
  </si>
  <si>
    <t>4.5 Проверка КСВН ступенчатого аттенюатора АТА/110 п.8.4.5</t>
  </si>
  <si>
    <t>4.3 Проверка диапазона установки уровня выходной мощности и определение погрешности установки уровня выходной мощности АТА/110  п.8.4.3</t>
  </si>
  <si>
    <t>Атт, дБ</t>
  </si>
  <si>
    <t>Допуск не более</t>
  </si>
  <si>
    <t>КСВН изм</t>
  </si>
  <si>
    <t>Негармоническая состовляющия, дБн</t>
  </si>
  <si>
    <t>Fср, Гц</t>
  </si>
  <si>
    <t>Fизм, Гц</t>
  </si>
  <si>
    <t>Измеритель мощности, NRP40T</t>
  </si>
  <si>
    <t>69958.17.2Р.00230475</t>
  </si>
  <si>
    <t>63416.16.3Р.00230545</t>
  </si>
  <si>
    <t>51532.12.4Р.00333213</t>
  </si>
  <si>
    <t>51073.12.2Р.00386705</t>
  </si>
  <si>
    <t>Наименование, тип СИ</t>
  </si>
  <si>
    <t>Год выпуска:</t>
  </si>
  <si>
    <t>Номер в реестре</t>
  </si>
  <si>
    <t>Заказчик</t>
  </si>
  <si>
    <t>Нормативный документ</t>
  </si>
  <si>
    <t>Вид поверки (калибровки)</t>
  </si>
  <si>
    <t>Опции</t>
  </si>
  <si>
    <t>Межповерочный интервал</t>
  </si>
  <si>
    <t>_type</t>
  </si>
  <si>
    <t>_numb</t>
  </si>
  <si>
    <t>_customer</t>
  </si>
  <si>
    <t xml:space="preserve"> Генератор сигналов </t>
  </si>
  <si>
    <t>_temp</t>
  </si>
  <si>
    <t>_hum</t>
  </si>
  <si>
    <t>_pres</t>
  </si>
  <si>
    <t>Заключение:</t>
  </si>
  <si>
    <t>Поверку провёл:</t>
  </si>
  <si>
    <t>(</t>
  </si>
  <si>
    <t>_pov</t>
  </si>
  <si>
    <t>)</t>
  </si>
  <si>
    <t>_date</t>
  </si>
  <si>
    <t>f_1</t>
  </si>
  <si>
    <t>f_2</t>
  </si>
  <si>
    <t>f_3</t>
  </si>
  <si>
    <t>f_4</t>
  </si>
  <si>
    <t>f_5</t>
  </si>
  <si>
    <t>f_6</t>
  </si>
  <si>
    <t>f_7</t>
  </si>
  <si>
    <t>f_8</t>
  </si>
  <si>
    <t>f_9</t>
  </si>
  <si>
    <t>f_10</t>
  </si>
  <si>
    <t>p50_1</t>
  </si>
  <si>
    <t>p50_2</t>
  </si>
  <si>
    <t>p50_3</t>
  </si>
  <si>
    <t>p50_4</t>
  </si>
  <si>
    <t>p50_5</t>
  </si>
  <si>
    <t>p1_1</t>
  </si>
  <si>
    <t>p1_2</t>
  </si>
  <si>
    <t>p1_3</t>
  </si>
  <si>
    <t>p1_4</t>
  </si>
  <si>
    <t>p1_5</t>
  </si>
  <si>
    <t>p2_1</t>
  </si>
  <si>
    <t>p2_2</t>
  </si>
  <si>
    <t>p2_3</t>
  </si>
  <si>
    <t>p2_4</t>
  </si>
  <si>
    <t>p2_5</t>
  </si>
  <si>
    <t>p4_1</t>
  </si>
  <si>
    <t>p4_2</t>
  </si>
  <si>
    <t>p4_3</t>
  </si>
  <si>
    <t>p4_4</t>
  </si>
  <si>
    <t>p4_5</t>
  </si>
  <si>
    <t>p8_1</t>
  </si>
  <si>
    <t>p8_2</t>
  </si>
  <si>
    <t>p8_3</t>
  </si>
  <si>
    <t>p8_4</t>
  </si>
  <si>
    <t>p8_5</t>
  </si>
  <si>
    <t>p16_1</t>
  </si>
  <si>
    <t>p16_2</t>
  </si>
  <si>
    <t>p16_3</t>
  </si>
  <si>
    <t>p16_4</t>
  </si>
  <si>
    <t>p16_5</t>
  </si>
  <si>
    <t>p20_1</t>
  </si>
  <si>
    <t>p20_2</t>
  </si>
  <si>
    <t>p20_3</t>
  </si>
  <si>
    <t>p20_4</t>
  </si>
  <si>
    <t>p20_5</t>
  </si>
  <si>
    <t>f_11</t>
  </si>
  <si>
    <t>Допуск × 10-6</t>
  </si>
  <si>
    <t>Δf × 10-6</t>
  </si>
  <si>
    <t>harm_1</t>
  </si>
  <si>
    <t>harm_2</t>
  </si>
  <si>
    <t>harm_3</t>
  </si>
  <si>
    <t>harm_4</t>
  </si>
  <si>
    <t>harm_5</t>
  </si>
  <si>
    <t>harm_6</t>
  </si>
  <si>
    <t>harm_7</t>
  </si>
  <si>
    <t>harm_8</t>
  </si>
  <si>
    <t>harm_9</t>
  </si>
  <si>
    <t>harm_10</t>
  </si>
  <si>
    <t>harm_11</t>
  </si>
  <si>
    <t>harm_12</t>
  </si>
  <si>
    <t>harm_13</t>
  </si>
  <si>
    <t>harm_14</t>
  </si>
  <si>
    <t>harm_15</t>
  </si>
  <si>
    <t>harm_16</t>
  </si>
  <si>
    <t>harm_17</t>
  </si>
  <si>
    <t>harm_18</t>
  </si>
  <si>
    <t>harm_19</t>
  </si>
  <si>
    <t>harm_20</t>
  </si>
  <si>
    <t>harm_21</t>
  </si>
  <si>
    <t>harm_22</t>
  </si>
  <si>
    <t>harm_23</t>
  </si>
  <si>
    <t>harm_24</t>
  </si>
  <si>
    <t>harm_25</t>
  </si>
  <si>
    <t>harm_26</t>
  </si>
  <si>
    <t>harm_27</t>
  </si>
  <si>
    <t>harm_28</t>
  </si>
  <si>
    <t>harm_29</t>
  </si>
  <si>
    <t>harm_30</t>
  </si>
  <si>
    <t>harm_31</t>
  </si>
  <si>
    <t>harm_32</t>
  </si>
  <si>
    <t>noharm_1</t>
  </si>
  <si>
    <t>noharm_2</t>
  </si>
  <si>
    <t>noharm_3</t>
  </si>
  <si>
    <t>noharm_4</t>
  </si>
  <si>
    <t>noharm_5</t>
  </si>
  <si>
    <t>noharm_6</t>
  </si>
  <si>
    <t>noharm_7</t>
  </si>
  <si>
    <t>a50_1</t>
  </si>
  <si>
    <t>a50_2</t>
  </si>
  <si>
    <t>a50_3</t>
  </si>
  <si>
    <t>a50_4</t>
  </si>
  <si>
    <t>a50_5</t>
  </si>
  <si>
    <t>a50_6</t>
  </si>
  <si>
    <t>a1_6</t>
  </si>
  <si>
    <t>a2_6</t>
  </si>
  <si>
    <t>a4_6</t>
  </si>
  <si>
    <t>a4_1</t>
  </si>
  <si>
    <t>a4_2</t>
  </si>
  <si>
    <t>a4_3</t>
  </si>
  <si>
    <t>a4_4</t>
  </si>
  <si>
    <t>a4_5</t>
  </si>
  <si>
    <t>a2_1</t>
  </si>
  <si>
    <t>a2_2</t>
  </si>
  <si>
    <t>a2_3</t>
  </si>
  <si>
    <t>a2_4</t>
  </si>
  <si>
    <t>a2_5</t>
  </si>
  <si>
    <t>a1_1</t>
  </si>
  <si>
    <t>a1_2</t>
  </si>
  <si>
    <t>a1_3</t>
  </si>
  <si>
    <t>a1_4</t>
  </si>
  <si>
    <t>a1_5</t>
  </si>
  <si>
    <t>a8_1</t>
  </si>
  <si>
    <t>a8_2</t>
  </si>
  <si>
    <t>a8_3</t>
  </si>
  <si>
    <t>a8_4</t>
  </si>
  <si>
    <t>a8_5</t>
  </si>
  <si>
    <t>a8_6</t>
  </si>
  <si>
    <t>a16_1</t>
  </si>
  <si>
    <t>a16_2</t>
  </si>
  <si>
    <t>a16_3</t>
  </si>
  <si>
    <t>a16_4</t>
  </si>
  <si>
    <t>a16_5</t>
  </si>
  <si>
    <t>a16_6</t>
  </si>
  <si>
    <t>a20_1</t>
  </si>
  <si>
    <t>a20_2</t>
  </si>
  <si>
    <t>a20_3</t>
  </si>
  <si>
    <t>a20_4</t>
  </si>
  <si>
    <t>a20_5</t>
  </si>
  <si>
    <t>a20_6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</si>
</sst>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sz val="8"/>
      <color theme="1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sz val="10"/>
      <color theme="1"/>
      <name val="Calibri"/>
      <family val="2"/>
      <scheme val="minor"/>
    </font>
    <font>
      <b/>
      <i/>
      <sz val="10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1" fillId="0" borderId="0" xfId="1" applyFont="1" applyAlignment="1">
      <alignment horizontal="left"/>
    </xf>
    <xf numFmtId="0" fontId="1" fillId="0" borderId="0" xfId="1" applyFont="1"/>
    <xf numFmtId="0" fontId="4" fillId="0" borderId="1" xfId="0" applyFont="1" applyBorder="1" applyAlignment="1">
      <alignment horizontal="center" vertical="center"/>
    </xf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2" fillId="0" borderId="0" xfId="0" applyFont="1"/>
    <xf numFmtId="0" fontId="6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2" fontId="7" fillId="0" borderId="0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/>
    <xf numFmtId="0" fontId="1" fillId="0" borderId="0" xfId="1" applyFont="1" applyAlignment="1">
      <alignment wrapText="1"/>
    </xf>
    <xf numFmtId="0" fontId="1" fillId="0" borderId="1" xfId="0" applyFont="1" applyBorder="1" applyAlignment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2" fontId="11" fillId="0" borderId="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/>
    <xf numFmtId="0" fontId="1" fillId="0" borderId="7" xfId="0" applyFont="1" applyBorder="1" applyAlignment="1"/>
    <xf numFmtId="0" fontId="7" fillId="0" borderId="7" xfId="0" applyFont="1" applyBorder="1" applyAlignment="1"/>
    <xf numFmtId="0" fontId="1" fillId="0" borderId="8" xfId="0" applyFont="1" applyBorder="1" applyAlignment="1"/>
    <xf numFmtId="0" fontId="7" fillId="0" borderId="2" xfId="0" applyFont="1" applyBorder="1" applyAlignment="1"/>
    <xf numFmtId="0" fontId="7" fillId="0" borderId="5" xfId="0" applyFont="1" applyBorder="1" applyAlignment="1"/>
    <xf numFmtId="0" fontId="7" fillId="0" borderId="6" xfId="0" applyFont="1" applyBorder="1" applyAlignment="1">
      <alignment horizontal="left" vertical="center"/>
    </xf>
    <xf numFmtId="0" fontId="12" fillId="0" borderId="12" xfId="0" applyFont="1" applyBorder="1"/>
    <xf numFmtId="0" fontId="1" fillId="0" borderId="12" xfId="0" applyFont="1" applyBorder="1"/>
    <xf numFmtId="0" fontId="1" fillId="0" borderId="0" xfId="0" applyFont="1" applyBorder="1"/>
    <xf numFmtId="164" fontId="1" fillId="0" borderId="0" xfId="0" applyNumberFormat="1" applyFont="1" applyBorder="1" applyAlignment="1">
      <alignment horizontal="center" vertical="center"/>
    </xf>
    <xf numFmtId="0" fontId="13" fillId="0" borderId="0" xfId="0" applyFont="1"/>
    <xf numFmtId="0" fontId="1" fillId="0" borderId="12" xfId="0" applyFont="1" applyBorder="1" applyAlignment="1">
      <alignment horizontal="right"/>
    </xf>
    <xf numFmtId="0" fontId="14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7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1" fillId="0" borderId="1" xfId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 applyProtection="1">
      <alignment horizontal="left" vertical="center"/>
      <protection locked="0"/>
    </xf>
    <xf numFmtId="14" fontId="7" fillId="0" borderId="3" xfId="0" applyNumberFormat="1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0" borderId="9" xfId="0" applyFont="1" applyBorder="1" applyAlignment="1" applyProtection="1">
      <alignment horizontal="left" vertical="center"/>
      <protection locked="0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" fontId="2" fillId="0" borderId="0" xfId="0" applyNumberFormat="1" applyFont="1" applyBorder="1" applyAlignment="1">
      <alignment horizontal="left" wrapText="1"/>
    </xf>
    <xf numFmtId="0" fontId="1" fillId="0" borderId="0" xfId="1" applyFont="1" applyAlignment="1">
      <alignment horizontal="left" wrapText="1"/>
    </xf>
    <xf numFmtId="16" fontId="1" fillId="0" borderId="0" xfId="0" applyNumberFormat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8"/>
  <sheetViews>
    <sheetView tabSelected="1" zoomScale="115" zoomScaleNormal="115" zoomScaleSheetLayoutView="100" workbookViewId="0">
      <selection sqref="A1:I5"/>
    </sheetView>
  </sheetViews>
  <sheetFormatPr defaultRowHeight="15" x14ac:dyDescent="0.25"/>
  <cols>
    <col min="1" max="9" width="9.140625" style="6" customWidth="1"/>
    <col min="10" max="10" width="9.140625" style="7"/>
  </cols>
  <sheetData>
    <row r="1" spans="1:9" x14ac:dyDescent="0.25">
      <c r="A1" s="67"/>
      <c r="B1" s="67"/>
      <c r="C1" s="67"/>
      <c r="D1" s="67"/>
      <c r="E1" s="67"/>
      <c r="F1" s="67"/>
      <c r="G1" s="67"/>
      <c r="H1" s="67"/>
      <c r="I1" s="67"/>
    </row>
    <row r="2" spans="1:9" x14ac:dyDescent="0.25">
      <c r="A2" s="67"/>
      <c r="B2" s="67"/>
      <c r="C2" s="67"/>
      <c r="D2" s="67"/>
      <c r="E2" s="67"/>
      <c r="F2" s="67"/>
      <c r="G2" s="67"/>
      <c r="H2" s="67"/>
      <c r="I2" s="67"/>
    </row>
    <row r="3" spans="1:9" x14ac:dyDescent="0.25">
      <c r="A3" s="67"/>
      <c r="B3" s="67"/>
      <c r="C3" s="67"/>
      <c r="D3" s="67"/>
      <c r="E3" s="67"/>
      <c r="F3" s="67"/>
      <c r="G3" s="67"/>
      <c r="H3" s="67"/>
      <c r="I3" s="67"/>
    </row>
    <row r="4" spans="1:9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x14ac:dyDescent="0.25">
      <c r="A5" s="68"/>
      <c r="B5" s="68"/>
      <c r="C5" s="68"/>
      <c r="D5" s="68"/>
      <c r="E5" s="68"/>
      <c r="F5" s="68"/>
      <c r="G5" s="68"/>
      <c r="H5" s="68"/>
      <c r="I5" s="68"/>
    </row>
    <row r="7" spans="1:9" x14ac:dyDescent="0.25">
      <c r="A7" s="70" t="str">
        <f>"Протокол поверки № 10/"&amp;C198&amp;"/"&amp;D10</f>
        <v>Протокол поверки № 10/_date/_numb</v>
      </c>
      <c r="B7" s="70"/>
      <c r="C7" s="70"/>
      <c r="D7" s="70"/>
      <c r="E7" s="70"/>
      <c r="F7" s="70"/>
      <c r="G7" s="70"/>
      <c r="H7" s="70"/>
      <c r="I7" s="70"/>
    </row>
    <row r="8" spans="1:9" x14ac:dyDescent="0.25">
      <c r="A8" s="18"/>
      <c r="B8" s="18"/>
      <c r="C8" s="18"/>
      <c r="D8" s="18"/>
      <c r="E8" s="18"/>
      <c r="F8" s="18"/>
      <c r="G8" s="19"/>
      <c r="H8" s="19"/>
      <c r="I8" s="19"/>
    </row>
    <row r="9" spans="1:9" x14ac:dyDescent="0.25">
      <c r="A9" s="62" t="s">
        <v>65</v>
      </c>
      <c r="B9" s="62"/>
      <c r="C9" s="69"/>
      <c r="D9" s="40" t="s">
        <v>76</v>
      </c>
      <c r="E9" s="35"/>
      <c r="F9" s="36" t="s">
        <v>73</v>
      </c>
      <c r="G9" s="35"/>
      <c r="H9" s="37"/>
      <c r="I9" s="19"/>
    </row>
    <row r="10" spans="1:9" x14ac:dyDescent="0.25">
      <c r="A10" s="62" t="s">
        <v>25</v>
      </c>
      <c r="B10" s="62"/>
      <c r="C10" s="69"/>
      <c r="D10" s="38" t="s">
        <v>74</v>
      </c>
      <c r="E10" s="34"/>
      <c r="F10" s="34"/>
      <c r="G10" s="34"/>
      <c r="H10" s="39"/>
      <c r="I10" s="19"/>
    </row>
    <row r="11" spans="1:9" x14ac:dyDescent="0.25">
      <c r="A11" s="72" t="s">
        <v>66</v>
      </c>
      <c r="B11" s="72"/>
      <c r="C11" s="72"/>
      <c r="D11" s="73">
        <v>44043</v>
      </c>
      <c r="E11" s="74"/>
      <c r="F11" s="74"/>
      <c r="G11" s="74"/>
      <c r="H11" s="74"/>
      <c r="I11" s="19"/>
    </row>
    <row r="12" spans="1:9" x14ac:dyDescent="0.25">
      <c r="A12" s="72" t="s">
        <v>67</v>
      </c>
      <c r="B12" s="72"/>
      <c r="C12" s="72"/>
      <c r="D12" s="75" t="s">
        <v>30</v>
      </c>
      <c r="E12" s="75"/>
      <c r="F12" s="75"/>
      <c r="G12" s="75"/>
      <c r="H12" s="75"/>
      <c r="I12" s="19"/>
    </row>
    <row r="13" spans="1:9" x14ac:dyDescent="0.25">
      <c r="A13" s="62" t="s">
        <v>68</v>
      </c>
      <c r="B13" s="62"/>
      <c r="C13" s="69"/>
      <c r="D13" s="38" t="s">
        <v>75</v>
      </c>
      <c r="E13" s="34"/>
      <c r="F13" s="34"/>
      <c r="G13" s="34"/>
      <c r="H13" s="39"/>
      <c r="I13" s="19"/>
    </row>
    <row r="14" spans="1:9" ht="30" customHeight="1" x14ac:dyDescent="0.25">
      <c r="A14" s="60" t="s">
        <v>69</v>
      </c>
      <c r="B14" s="60"/>
      <c r="C14" s="60"/>
      <c r="D14" s="61" t="s">
        <v>31</v>
      </c>
      <c r="E14" s="61"/>
      <c r="F14" s="61"/>
      <c r="G14" s="61"/>
      <c r="H14" s="61"/>
      <c r="I14" s="19"/>
    </row>
    <row r="15" spans="1:9" x14ac:dyDescent="0.25">
      <c r="A15" s="62" t="s">
        <v>70</v>
      </c>
      <c r="B15" s="62"/>
      <c r="C15" s="62"/>
      <c r="D15" s="63" t="s">
        <v>14</v>
      </c>
      <c r="E15" s="63"/>
      <c r="F15" s="63"/>
      <c r="G15" s="63"/>
      <c r="H15" s="63"/>
      <c r="I15" s="19"/>
    </row>
    <row r="16" spans="1:9" x14ac:dyDescent="0.25">
      <c r="A16" s="62" t="s">
        <v>71</v>
      </c>
      <c r="B16" s="62"/>
      <c r="C16" s="62"/>
      <c r="D16" s="63" t="s">
        <v>38</v>
      </c>
      <c r="E16" s="63"/>
      <c r="F16" s="63"/>
      <c r="G16" s="63"/>
      <c r="H16" s="63"/>
      <c r="I16" s="19"/>
    </row>
    <row r="17" spans="1:9" x14ac:dyDescent="0.25">
      <c r="A17" s="62" t="s">
        <v>72</v>
      </c>
      <c r="B17" s="62"/>
      <c r="C17" s="62"/>
      <c r="D17" s="63" t="s">
        <v>15</v>
      </c>
      <c r="E17" s="63"/>
      <c r="F17" s="63"/>
      <c r="G17" s="63"/>
      <c r="H17" s="63"/>
      <c r="I17" s="19"/>
    </row>
    <row r="18" spans="1:9" x14ac:dyDescent="0.25">
      <c r="A18" s="18"/>
      <c r="B18" s="18"/>
      <c r="C18" s="18"/>
      <c r="D18" s="18"/>
      <c r="E18" s="18"/>
      <c r="F18" s="18"/>
      <c r="G18" s="19"/>
      <c r="H18" s="19"/>
      <c r="I18" s="19"/>
    </row>
    <row r="19" spans="1:9" x14ac:dyDescent="0.25">
      <c r="A19" s="71" t="s">
        <v>22</v>
      </c>
      <c r="B19" s="71"/>
      <c r="C19" s="71"/>
      <c r="D19" s="71"/>
      <c r="E19" s="9"/>
      <c r="F19" s="9"/>
      <c r="G19" s="9"/>
      <c r="H19" s="9"/>
      <c r="I19" s="19"/>
    </row>
    <row r="20" spans="1:9" ht="15" customHeight="1" x14ac:dyDescent="0.25">
      <c r="A20" s="80" t="s">
        <v>1</v>
      </c>
      <c r="B20" s="81"/>
      <c r="C20" s="81"/>
      <c r="D20" s="82"/>
      <c r="E20" s="76" t="s">
        <v>2</v>
      </c>
      <c r="F20" s="77"/>
      <c r="G20" s="76" t="s">
        <v>3</v>
      </c>
      <c r="H20" s="77"/>
      <c r="I20" s="19"/>
    </row>
    <row r="21" spans="1:9" x14ac:dyDescent="0.25">
      <c r="A21" s="83"/>
      <c r="B21" s="84"/>
      <c r="C21" s="84"/>
      <c r="D21" s="85"/>
      <c r="E21" s="78"/>
      <c r="F21" s="79"/>
      <c r="G21" s="78"/>
      <c r="H21" s="79"/>
      <c r="I21" s="19"/>
    </row>
    <row r="22" spans="1:9" x14ac:dyDescent="0.25">
      <c r="A22" s="21" t="s">
        <v>16</v>
      </c>
      <c r="B22" s="21"/>
      <c r="C22" s="21"/>
      <c r="D22" s="21"/>
      <c r="E22" s="64" t="s">
        <v>77</v>
      </c>
      <c r="F22" s="64"/>
      <c r="G22" s="65" t="s">
        <v>17</v>
      </c>
      <c r="H22" s="65"/>
      <c r="I22" s="19"/>
    </row>
    <row r="23" spans="1:9" x14ac:dyDescent="0.25">
      <c r="A23" s="62" t="s">
        <v>18</v>
      </c>
      <c r="B23" s="62"/>
      <c r="C23" s="62"/>
      <c r="D23" s="62"/>
      <c r="E23" s="64" t="s">
        <v>78</v>
      </c>
      <c r="F23" s="64"/>
      <c r="G23" s="65" t="s">
        <v>19</v>
      </c>
      <c r="H23" s="65"/>
      <c r="I23" s="19"/>
    </row>
    <row r="24" spans="1:9" x14ac:dyDescent="0.25">
      <c r="A24" s="62" t="s">
        <v>20</v>
      </c>
      <c r="B24" s="62"/>
      <c r="C24" s="62"/>
      <c r="D24" s="62"/>
      <c r="E24" s="64" t="s">
        <v>79</v>
      </c>
      <c r="F24" s="64"/>
      <c r="G24" s="65" t="s">
        <v>21</v>
      </c>
      <c r="H24" s="65"/>
    </row>
    <row r="25" spans="1:9" x14ac:dyDescent="0.25">
      <c r="A25" s="20"/>
      <c r="B25" s="12"/>
      <c r="C25" s="12"/>
      <c r="D25" s="12"/>
      <c r="E25" s="12"/>
      <c r="F25" s="12"/>
      <c r="G25" s="12"/>
      <c r="H25" s="12"/>
      <c r="I25" s="12"/>
    </row>
    <row r="26" spans="1:9" x14ac:dyDescent="0.25">
      <c r="A26" s="22" t="s">
        <v>23</v>
      </c>
      <c r="B26" s="22"/>
      <c r="C26" s="22"/>
      <c r="D26" s="22"/>
      <c r="E26" s="9"/>
      <c r="F26" s="9"/>
      <c r="G26" s="9"/>
      <c r="H26" s="9"/>
      <c r="I26" s="23"/>
    </row>
    <row r="27" spans="1:9" x14ac:dyDescent="0.25">
      <c r="A27" s="66" t="s">
        <v>24</v>
      </c>
      <c r="B27" s="66"/>
      <c r="C27" s="66"/>
      <c r="D27" s="66"/>
      <c r="E27" s="66" t="s">
        <v>25</v>
      </c>
      <c r="F27" s="66"/>
      <c r="G27" s="66" t="s">
        <v>26</v>
      </c>
      <c r="H27" s="66"/>
      <c r="I27" s="66"/>
    </row>
    <row r="28" spans="1:9" x14ac:dyDescent="0.25">
      <c r="A28" s="60" t="s">
        <v>27</v>
      </c>
      <c r="B28" s="60"/>
      <c r="C28" s="60"/>
      <c r="D28" s="60"/>
      <c r="E28" s="65">
        <v>1601</v>
      </c>
      <c r="F28" s="65"/>
      <c r="G28" s="49" t="s">
        <v>62</v>
      </c>
      <c r="H28" s="49"/>
      <c r="I28" s="49"/>
    </row>
    <row r="29" spans="1:9" x14ac:dyDescent="0.25">
      <c r="A29" s="60" t="s">
        <v>28</v>
      </c>
      <c r="B29" s="60"/>
      <c r="C29" s="60"/>
      <c r="D29" s="60"/>
      <c r="E29" s="65">
        <v>418840</v>
      </c>
      <c r="F29" s="65"/>
      <c r="G29" s="49" t="s">
        <v>63</v>
      </c>
      <c r="H29" s="49"/>
      <c r="I29" s="49"/>
    </row>
    <row r="30" spans="1:9" x14ac:dyDescent="0.25">
      <c r="A30" s="60" t="s">
        <v>29</v>
      </c>
      <c r="B30" s="60"/>
      <c r="C30" s="60"/>
      <c r="D30" s="60"/>
      <c r="E30" s="65" t="s">
        <v>0</v>
      </c>
      <c r="F30" s="65"/>
      <c r="G30" s="49" t="s">
        <v>64</v>
      </c>
      <c r="H30" s="49"/>
      <c r="I30" s="49"/>
    </row>
    <row r="31" spans="1:9" x14ac:dyDescent="0.25">
      <c r="A31" s="60" t="s">
        <v>60</v>
      </c>
      <c r="B31" s="60"/>
      <c r="C31" s="60"/>
      <c r="D31" s="60"/>
      <c r="E31" s="65">
        <v>101324</v>
      </c>
      <c r="F31" s="65"/>
      <c r="G31" s="49" t="s">
        <v>61</v>
      </c>
      <c r="H31" s="49"/>
      <c r="I31" s="49"/>
    </row>
    <row r="32" spans="1:9" x14ac:dyDescent="0.25">
      <c r="A32" s="22"/>
      <c r="B32" s="22"/>
      <c r="C32" s="22"/>
      <c r="D32" s="22"/>
      <c r="E32" s="9"/>
      <c r="F32" s="9"/>
      <c r="G32" s="9"/>
      <c r="H32" s="9"/>
      <c r="I32" s="9"/>
    </row>
    <row r="33" spans="1:9" x14ac:dyDescent="0.25">
      <c r="A33" s="1" t="s">
        <v>32</v>
      </c>
      <c r="B33" s="1"/>
      <c r="C33" s="1"/>
      <c r="D33" s="1"/>
      <c r="E33" s="1"/>
      <c r="F33" s="1"/>
      <c r="G33" s="2"/>
      <c r="H33" s="2"/>
    </row>
    <row r="34" spans="1:9" x14ac:dyDescent="0.25">
      <c r="A34" s="1" t="s">
        <v>33</v>
      </c>
      <c r="B34" s="1"/>
      <c r="C34" s="1"/>
      <c r="D34" s="1"/>
      <c r="E34" s="1"/>
      <c r="F34" s="1"/>
      <c r="G34" s="2"/>
      <c r="H34" s="2"/>
    </row>
    <row r="35" spans="1:9" x14ac:dyDescent="0.25">
      <c r="A35" s="1" t="s">
        <v>34</v>
      </c>
      <c r="B35" s="1"/>
      <c r="C35" s="1"/>
      <c r="D35" s="1"/>
      <c r="E35" s="1"/>
      <c r="F35" s="1"/>
      <c r="G35" s="2"/>
      <c r="H35" s="2"/>
      <c r="I35" s="17"/>
    </row>
    <row r="36" spans="1:9" x14ac:dyDescent="0.25">
      <c r="A36" s="1"/>
      <c r="B36" s="1"/>
      <c r="C36" s="1"/>
      <c r="D36" s="1"/>
      <c r="E36" s="1"/>
      <c r="F36" s="1"/>
      <c r="G36" s="2"/>
      <c r="H36" s="2"/>
      <c r="I36" s="17"/>
    </row>
    <row r="37" spans="1:9" x14ac:dyDescent="0.25">
      <c r="A37" s="87" t="s">
        <v>35</v>
      </c>
      <c r="B37" s="88"/>
      <c r="C37" s="88"/>
      <c r="D37" s="88"/>
      <c r="E37" s="88"/>
      <c r="F37" s="88"/>
      <c r="G37" s="88"/>
      <c r="H37" s="88"/>
      <c r="I37" s="88"/>
    </row>
    <row r="38" spans="1:9" x14ac:dyDescent="0.25">
      <c r="A38" s="1" t="s">
        <v>40</v>
      </c>
      <c r="B38" s="24"/>
      <c r="C38" s="24"/>
      <c r="D38" s="24"/>
      <c r="E38" s="24"/>
      <c r="F38" s="24"/>
      <c r="G38" s="24"/>
      <c r="H38" s="24"/>
      <c r="I38" s="24"/>
    </row>
    <row r="39" spans="1:9" x14ac:dyDescent="0.25">
      <c r="A39" s="56" t="s">
        <v>36</v>
      </c>
      <c r="B39" s="57"/>
      <c r="C39" s="56" t="s">
        <v>58</v>
      </c>
      <c r="D39" s="57"/>
      <c r="E39" s="56" t="s">
        <v>133</v>
      </c>
      <c r="F39" s="57"/>
      <c r="G39" s="58" t="s">
        <v>132</v>
      </c>
      <c r="H39" s="57"/>
      <c r="I39" s="24"/>
    </row>
    <row r="40" spans="1:9" x14ac:dyDescent="0.25">
      <c r="A40" s="59">
        <v>10</v>
      </c>
      <c r="B40" s="59"/>
      <c r="C40" s="86" t="s">
        <v>86</v>
      </c>
      <c r="D40" s="86"/>
      <c r="E40" s="59" t="e">
        <f>(C40-A40*1000000)/A40</f>
        <v>#VALUE!</v>
      </c>
      <c r="F40" s="59"/>
      <c r="G40" s="59" t="s">
        <v>10</v>
      </c>
      <c r="H40" s="59"/>
      <c r="I40" s="24"/>
    </row>
    <row r="41" spans="1:9" x14ac:dyDescent="0.25">
      <c r="A41" s="25"/>
      <c r="B41" s="24"/>
      <c r="C41" s="24"/>
      <c r="D41" s="24"/>
      <c r="E41" s="24"/>
      <c r="F41" s="24"/>
      <c r="G41" s="24"/>
      <c r="H41" s="24"/>
      <c r="I41" s="24"/>
    </row>
    <row r="42" spans="1:9" x14ac:dyDescent="0.25">
      <c r="A42" s="96" t="s">
        <v>41</v>
      </c>
      <c r="B42" s="96"/>
      <c r="C42" s="96"/>
      <c r="D42" s="96"/>
      <c r="E42" s="96"/>
      <c r="F42" s="96"/>
      <c r="G42" s="96"/>
      <c r="H42" s="96"/>
      <c r="I42" s="96"/>
    </row>
    <row r="43" spans="1:9" x14ac:dyDescent="0.25">
      <c r="A43" s="96"/>
      <c r="B43" s="96"/>
      <c r="C43" s="96"/>
      <c r="D43" s="96"/>
      <c r="E43" s="96"/>
      <c r="F43" s="96"/>
      <c r="G43" s="96"/>
      <c r="H43" s="96"/>
      <c r="I43" s="96"/>
    </row>
    <row r="44" spans="1:9" x14ac:dyDescent="0.25">
      <c r="A44" s="56" t="s">
        <v>12</v>
      </c>
      <c r="B44" s="57"/>
      <c r="C44" s="56" t="s">
        <v>59</v>
      </c>
      <c r="D44" s="57"/>
      <c r="E44" s="56" t="s">
        <v>133</v>
      </c>
      <c r="F44" s="57"/>
      <c r="G44" s="58" t="s">
        <v>132</v>
      </c>
      <c r="H44" s="57"/>
      <c r="I44" s="24"/>
    </row>
    <row r="45" spans="1:9" x14ac:dyDescent="0.25">
      <c r="A45" s="59">
        <v>10</v>
      </c>
      <c r="B45" s="59"/>
      <c r="C45" s="86" t="s">
        <v>87</v>
      </c>
      <c r="D45" s="86"/>
      <c r="E45" s="59" t="e">
        <f>(C45-A45*1000000)/A45</f>
        <v>#VALUE!</v>
      </c>
      <c r="F45" s="59"/>
      <c r="G45" s="89" t="s">
        <v>10</v>
      </c>
      <c r="H45" s="90"/>
      <c r="I45" s="24"/>
    </row>
    <row r="46" spans="1:9" x14ac:dyDescent="0.25">
      <c r="A46" s="59">
        <v>100</v>
      </c>
      <c r="B46" s="59"/>
      <c r="C46" s="86" t="s">
        <v>88</v>
      </c>
      <c r="D46" s="86"/>
      <c r="E46" s="59" t="e">
        <f t="shared" ref="E46:E54" si="0">(C46-A46*1000000)/A46</f>
        <v>#VALUE!</v>
      </c>
      <c r="F46" s="59"/>
      <c r="G46" s="91"/>
      <c r="H46" s="92"/>
      <c r="I46" s="24"/>
    </row>
    <row r="47" spans="1:9" x14ac:dyDescent="0.25">
      <c r="A47" s="59">
        <v>250</v>
      </c>
      <c r="B47" s="59"/>
      <c r="C47" s="86" t="s">
        <v>89</v>
      </c>
      <c r="D47" s="86"/>
      <c r="E47" s="59" t="e">
        <f t="shared" si="0"/>
        <v>#VALUE!</v>
      </c>
      <c r="F47" s="59"/>
      <c r="G47" s="91"/>
      <c r="H47" s="92"/>
      <c r="I47" s="24"/>
    </row>
    <row r="48" spans="1:9" x14ac:dyDescent="0.25">
      <c r="A48" s="59">
        <v>500</v>
      </c>
      <c r="B48" s="59"/>
      <c r="C48" s="86" t="s">
        <v>90</v>
      </c>
      <c r="D48" s="86"/>
      <c r="E48" s="59" t="e">
        <f t="shared" si="0"/>
        <v>#VALUE!</v>
      </c>
      <c r="F48" s="59"/>
      <c r="G48" s="91"/>
      <c r="H48" s="92"/>
      <c r="I48" s="24"/>
    </row>
    <row r="49" spans="1:12" x14ac:dyDescent="0.25">
      <c r="A49" s="59">
        <v>1000</v>
      </c>
      <c r="B49" s="59"/>
      <c r="C49" s="86" t="s">
        <v>91</v>
      </c>
      <c r="D49" s="86"/>
      <c r="E49" s="59" t="e">
        <f t="shared" si="0"/>
        <v>#VALUE!</v>
      </c>
      <c r="F49" s="59"/>
      <c r="G49" s="91"/>
      <c r="H49" s="92"/>
      <c r="I49" s="24"/>
    </row>
    <row r="50" spans="1:12" x14ac:dyDescent="0.25">
      <c r="A50" s="59">
        <v>2000</v>
      </c>
      <c r="B50" s="59"/>
      <c r="C50" s="86" t="s">
        <v>92</v>
      </c>
      <c r="D50" s="86"/>
      <c r="E50" s="59" t="e">
        <f t="shared" si="0"/>
        <v>#VALUE!</v>
      </c>
      <c r="F50" s="59"/>
      <c r="G50" s="91"/>
      <c r="H50" s="92"/>
      <c r="I50" s="24"/>
    </row>
    <row r="51" spans="1:12" x14ac:dyDescent="0.25">
      <c r="A51" s="59">
        <v>4000</v>
      </c>
      <c r="B51" s="59"/>
      <c r="C51" s="86" t="s">
        <v>93</v>
      </c>
      <c r="D51" s="86"/>
      <c r="E51" s="59" t="e">
        <f t="shared" si="0"/>
        <v>#VALUE!</v>
      </c>
      <c r="F51" s="59"/>
      <c r="G51" s="91"/>
      <c r="H51" s="92"/>
      <c r="I51" s="24"/>
    </row>
    <row r="52" spans="1:12" x14ac:dyDescent="0.25">
      <c r="A52" s="59">
        <v>8000</v>
      </c>
      <c r="B52" s="59"/>
      <c r="C52" s="86" t="s">
        <v>94</v>
      </c>
      <c r="D52" s="86"/>
      <c r="E52" s="59" t="e">
        <f t="shared" si="0"/>
        <v>#VALUE!</v>
      </c>
      <c r="F52" s="59"/>
      <c r="G52" s="91"/>
      <c r="H52" s="92"/>
    </row>
    <row r="53" spans="1:12" x14ac:dyDescent="0.25">
      <c r="A53" s="59">
        <v>16000</v>
      </c>
      <c r="B53" s="59"/>
      <c r="C53" s="86" t="s">
        <v>95</v>
      </c>
      <c r="D53" s="86"/>
      <c r="E53" s="59" t="e">
        <f t="shared" si="0"/>
        <v>#VALUE!</v>
      </c>
      <c r="F53" s="59"/>
      <c r="G53" s="91"/>
      <c r="H53" s="92"/>
      <c r="I53" s="17"/>
    </row>
    <row r="54" spans="1:12" x14ac:dyDescent="0.25">
      <c r="A54" s="59">
        <v>20000</v>
      </c>
      <c r="B54" s="59"/>
      <c r="C54" s="86" t="s">
        <v>131</v>
      </c>
      <c r="D54" s="86"/>
      <c r="E54" s="59" t="e">
        <f t="shared" si="0"/>
        <v>#VALUE!</v>
      </c>
      <c r="F54" s="59"/>
      <c r="G54" s="93"/>
      <c r="H54" s="94"/>
      <c r="I54" s="17"/>
    </row>
    <row r="55" spans="1:12" x14ac:dyDescent="0.25">
      <c r="A55" s="13"/>
      <c r="B55" s="13"/>
      <c r="C55" s="17"/>
      <c r="D55" s="17"/>
      <c r="E55" s="17"/>
      <c r="F55" s="17"/>
      <c r="G55" s="17"/>
      <c r="H55" s="17"/>
      <c r="I55" s="17"/>
    </row>
    <row r="56" spans="1:12" x14ac:dyDescent="0.25">
      <c r="A56" s="95" t="s">
        <v>53</v>
      </c>
      <c r="B56" s="95"/>
      <c r="C56" s="95"/>
      <c r="D56" s="95"/>
      <c r="E56" s="95"/>
      <c r="F56" s="95"/>
      <c r="G56" s="95"/>
      <c r="H56" s="95"/>
      <c r="I56" s="95"/>
    </row>
    <row r="57" spans="1:12" x14ac:dyDescent="0.25">
      <c r="A57" s="95"/>
      <c r="B57" s="95"/>
      <c r="C57" s="95"/>
      <c r="D57" s="95"/>
      <c r="E57" s="95"/>
      <c r="F57" s="95"/>
      <c r="G57" s="95"/>
      <c r="H57" s="95"/>
      <c r="I57" s="95"/>
    </row>
    <row r="58" spans="1:12" x14ac:dyDescent="0.25">
      <c r="A58" s="31" t="s">
        <v>13</v>
      </c>
      <c r="B58" s="29" t="s">
        <v>4</v>
      </c>
      <c r="C58" s="48" t="s">
        <v>5</v>
      </c>
      <c r="D58" s="48"/>
      <c r="E58" s="48" t="s">
        <v>6</v>
      </c>
      <c r="F58" s="48"/>
      <c r="G58" s="3" t="s">
        <v>7</v>
      </c>
      <c r="H58" s="17"/>
      <c r="I58" s="17"/>
    </row>
    <row r="59" spans="1:12" x14ac:dyDescent="0.25">
      <c r="A59" s="48">
        <v>50</v>
      </c>
      <c r="B59" s="29">
        <v>10</v>
      </c>
      <c r="C59" s="50" t="s">
        <v>96</v>
      </c>
      <c r="D59" s="50"/>
      <c r="E59" s="51" t="e">
        <f>B59-C59</f>
        <v>#VALUE!</v>
      </c>
      <c r="F59" s="51"/>
      <c r="G59" s="49" t="s">
        <v>11</v>
      </c>
      <c r="H59" s="17"/>
      <c r="I59" s="17"/>
    </row>
    <row r="60" spans="1:12" x14ac:dyDescent="0.25">
      <c r="A60" s="48"/>
      <c r="B60" s="29">
        <v>0</v>
      </c>
      <c r="C60" s="50" t="s">
        <v>97</v>
      </c>
      <c r="D60" s="50"/>
      <c r="E60" s="51" t="e">
        <f t="shared" ref="E60:E123" si="1">B60-C60</f>
        <v>#VALUE!</v>
      </c>
      <c r="F60" s="51"/>
      <c r="G60" s="49"/>
      <c r="H60" s="17"/>
      <c r="I60" s="17"/>
    </row>
    <row r="61" spans="1:12" x14ac:dyDescent="0.25">
      <c r="A61" s="48"/>
      <c r="B61" s="30">
        <v>-10</v>
      </c>
      <c r="C61" s="50" t="s">
        <v>98</v>
      </c>
      <c r="D61" s="50"/>
      <c r="E61" s="51" t="e">
        <f t="shared" si="1"/>
        <v>#VALUE!</v>
      </c>
      <c r="F61" s="51"/>
      <c r="G61" s="49"/>
    </row>
    <row r="62" spans="1:12" x14ac:dyDescent="0.25">
      <c r="A62" s="48"/>
      <c r="B62" s="30">
        <v>-20</v>
      </c>
      <c r="C62" s="50" t="s">
        <v>99</v>
      </c>
      <c r="D62" s="50"/>
      <c r="E62" s="51" t="e">
        <f t="shared" si="1"/>
        <v>#VALUE!</v>
      </c>
      <c r="F62" s="51"/>
      <c r="G62" s="49"/>
      <c r="H62" s="4"/>
      <c r="L62" s="11"/>
    </row>
    <row r="63" spans="1:12" x14ac:dyDescent="0.25">
      <c r="A63" s="48"/>
      <c r="B63" s="30">
        <v>-30</v>
      </c>
      <c r="C63" s="50" t="s">
        <v>100</v>
      </c>
      <c r="D63" s="50"/>
      <c r="E63" s="51" t="e">
        <f t="shared" si="1"/>
        <v>#VALUE!</v>
      </c>
      <c r="F63" s="51"/>
      <c r="G63" s="49" t="s">
        <v>39</v>
      </c>
      <c r="H63" s="26"/>
    </row>
    <row r="64" spans="1:12" ht="12.75" customHeight="1" x14ac:dyDescent="0.25">
      <c r="A64" s="48"/>
      <c r="B64" s="30">
        <v>-40</v>
      </c>
      <c r="C64" s="50" t="s">
        <v>173</v>
      </c>
      <c r="D64" s="50"/>
      <c r="E64" s="51" t="e">
        <f t="shared" si="1"/>
        <v>#VALUE!</v>
      </c>
      <c r="F64" s="51"/>
      <c r="G64" s="49"/>
      <c r="H64" s="26"/>
    </row>
    <row r="65" spans="1:9" x14ac:dyDescent="0.25">
      <c r="A65" s="48"/>
      <c r="B65" s="30">
        <v>-50</v>
      </c>
      <c r="C65" s="50" t="s">
        <v>174</v>
      </c>
      <c r="D65" s="50"/>
      <c r="E65" s="51" t="e">
        <f t="shared" si="1"/>
        <v>#VALUE!</v>
      </c>
      <c r="F65" s="51"/>
      <c r="G65" s="49"/>
      <c r="H65" s="10"/>
    </row>
    <row r="66" spans="1:9" x14ac:dyDescent="0.25">
      <c r="A66" s="48"/>
      <c r="B66" s="30">
        <v>-60</v>
      </c>
      <c r="C66" s="50" t="s">
        <v>175</v>
      </c>
      <c r="D66" s="50"/>
      <c r="E66" s="51" t="e">
        <f t="shared" si="1"/>
        <v>#VALUE!</v>
      </c>
      <c r="F66" s="51"/>
      <c r="G66" s="49"/>
      <c r="H66" s="10"/>
    </row>
    <row r="67" spans="1:9" x14ac:dyDescent="0.25">
      <c r="A67" s="48"/>
      <c r="B67" s="30">
        <v>-70</v>
      </c>
      <c r="C67" s="50" t="s">
        <v>176</v>
      </c>
      <c r="D67" s="50"/>
      <c r="E67" s="51" t="e">
        <f t="shared" si="1"/>
        <v>#VALUE!</v>
      </c>
      <c r="F67" s="51"/>
      <c r="G67" s="49"/>
      <c r="H67" s="10"/>
    </row>
    <row r="68" spans="1:9" x14ac:dyDescent="0.25">
      <c r="A68" s="48"/>
      <c r="B68" s="30">
        <v>-80</v>
      </c>
      <c r="C68" s="50" t="s">
        <v>177</v>
      </c>
      <c r="D68" s="50"/>
      <c r="E68" s="51" t="e">
        <f t="shared" si="1"/>
        <v>#VALUE!</v>
      </c>
      <c r="F68" s="51"/>
      <c r="G68" s="49"/>
      <c r="H68" s="10"/>
    </row>
    <row r="69" spans="1:9" x14ac:dyDescent="0.25">
      <c r="A69" s="48"/>
      <c r="B69" s="30">
        <v>-90</v>
      </c>
      <c r="C69" s="50" t="s">
        <v>178</v>
      </c>
      <c r="D69" s="50"/>
      <c r="E69" s="51" t="e">
        <f t="shared" si="1"/>
        <v>#VALUE!</v>
      </c>
      <c r="F69" s="51"/>
      <c r="G69" s="49"/>
      <c r="H69" s="10"/>
    </row>
    <row r="70" spans="1:9" x14ac:dyDescent="0.25">
      <c r="A70" s="48">
        <v>1000</v>
      </c>
      <c r="B70" s="29">
        <v>10</v>
      </c>
      <c r="C70" s="50" t="s">
        <v>101</v>
      </c>
      <c r="D70" s="50"/>
      <c r="E70" s="51" t="e">
        <f t="shared" si="1"/>
        <v>#VALUE!</v>
      </c>
      <c r="F70" s="51"/>
      <c r="G70" s="49" t="s">
        <v>11</v>
      </c>
      <c r="H70" s="10"/>
      <c r="I70" s="17"/>
    </row>
    <row r="71" spans="1:9" x14ac:dyDescent="0.25">
      <c r="A71" s="48"/>
      <c r="B71" s="29">
        <v>0</v>
      </c>
      <c r="C71" s="50" t="s">
        <v>102</v>
      </c>
      <c r="D71" s="50"/>
      <c r="E71" s="51" t="e">
        <f t="shared" si="1"/>
        <v>#VALUE!</v>
      </c>
      <c r="F71" s="51"/>
      <c r="G71" s="49"/>
      <c r="H71" s="10"/>
      <c r="I71" s="17"/>
    </row>
    <row r="72" spans="1:9" x14ac:dyDescent="0.25">
      <c r="A72" s="48"/>
      <c r="B72" s="30">
        <v>-10</v>
      </c>
      <c r="C72" s="50" t="s">
        <v>103</v>
      </c>
      <c r="D72" s="50"/>
      <c r="E72" s="51" t="e">
        <f t="shared" si="1"/>
        <v>#VALUE!</v>
      </c>
      <c r="F72" s="51"/>
      <c r="G72" s="49"/>
      <c r="H72" s="10"/>
      <c r="I72" s="17"/>
    </row>
    <row r="73" spans="1:9" x14ac:dyDescent="0.25">
      <c r="A73" s="48"/>
      <c r="B73" s="30">
        <v>-20</v>
      </c>
      <c r="C73" s="50" t="s">
        <v>104</v>
      </c>
      <c r="D73" s="50"/>
      <c r="E73" s="51" t="e">
        <f t="shared" si="1"/>
        <v>#VALUE!</v>
      </c>
      <c r="F73" s="51"/>
      <c r="G73" s="49"/>
      <c r="H73" s="10"/>
      <c r="I73" s="17"/>
    </row>
    <row r="74" spans="1:9" x14ac:dyDescent="0.25">
      <c r="A74" s="48"/>
      <c r="B74" s="30">
        <v>-30</v>
      </c>
      <c r="C74" s="50" t="s">
        <v>105</v>
      </c>
      <c r="D74" s="50"/>
      <c r="E74" s="51" t="e">
        <f t="shared" si="1"/>
        <v>#VALUE!</v>
      </c>
      <c r="F74" s="51"/>
      <c r="G74" s="49" t="s">
        <v>39</v>
      </c>
      <c r="H74" s="10"/>
      <c r="I74" s="17"/>
    </row>
    <row r="75" spans="1:9" x14ac:dyDescent="0.25">
      <c r="A75" s="48"/>
      <c r="B75" s="30">
        <v>-40</v>
      </c>
      <c r="C75" s="50" t="s">
        <v>192</v>
      </c>
      <c r="D75" s="50"/>
      <c r="E75" s="51" t="e">
        <f t="shared" si="1"/>
        <v>#VALUE!</v>
      </c>
      <c r="F75" s="51"/>
      <c r="G75" s="49"/>
      <c r="H75" s="10"/>
      <c r="I75" s="17"/>
    </row>
    <row r="76" spans="1:9" x14ac:dyDescent="0.25">
      <c r="A76" s="48"/>
      <c r="B76" s="30">
        <v>-50</v>
      </c>
      <c r="C76" s="50" t="s">
        <v>193</v>
      </c>
      <c r="D76" s="50"/>
      <c r="E76" s="51" t="e">
        <f t="shared" si="1"/>
        <v>#VALUE!</v>
      </c>
      <c r="F76" s="51"/>
      <c r="G76" s="49"/>
      <c r="H76" s="10"/>
      <c r="I76" s="17"/>
    </row>
    <row r="77" spans="1:9" x14ac:dyDescent="0.25">
      <c r="A77" s="48"/>
      <c r="B77" s="30">
        <v>-60</v>
      </c>
      <c r="C77" s="50" t="s">
        <v>194</v>
      </c>
      <c r="D77" s="50"/>
      <c r="E77" s="51" t="e">
        <f t="shared" si="1"/>
        <v>#VALUE!</v>
      </c>
      <c r="F77" s="51"/>
      <c r="G77" s="49"/>
      <c r="H77" s="10"/>
      <c r="I77" s="17"/>
    </row>
    <row r="78" spans="1:9" x14ac:dyDescent="0.25">
      <c r="A78" s="48"/>
      <c r="B78" s="30">
        <v>-70</v>
      </c>
      <c r="C78" s="50" t="s">
        <v>195</v>
      </c>
      <c r="D78" s="50"/>
      <c r="E78" s="51" t="e">
        <f t="shared" si="1"/>
        <v>#VALUE!</v>
      </c>
      <c r="F78" s="51"/>
      <c r="G78" s="49"/>
      <c r="H78" s="10"/>
      <c r="I78" s="17"/>
    </row>
    <row r="79" spans="1:9" x14ac:dyDescent="0.25">
      <c r="A79" s="48"/>
      <c r="B79" s="30">
        <v>-80</v>
      </c>
      <c r="C79" s="50" t="s">
        <v>196</v>
      </c>
      <c r="D79" s="50"/>
      <c r="E79" s="51" t="e">
        <f t="shared" si="1"/>
        <v>#VALUE!</v>
      </c>
      <c r="F79" s="51"/>
      <c r="G79" s="49"/>
      <c r="H79" s="10"/>
      <c r="I79" s="17"/>
    </row>
    <row r="80" spans="1:9" x14ac:dyDescent="0.25">
      <c r="A80" s="48"/>
      <c r="B80" s="30">
        <v>-90</v>
      </c>
      <c r="C80" s="50" t="s">
        <v>179</v>
      </c>
      <c r="D80" s="50"/>
      <c r="E80" s="51" t="e">
        <f t="shared" si="1"/>
        <v>#VALUE!</v>
      </c>
      <c r="F80" s="51"/>
      <c r="G80" s="49"/>
      <c r="H80" s="10"/>
      <c r="I80" s="17"/>
    </row>
    <row r="81" spans="1:9" x14ac:dyDescent="0.25">
      <c r="A81" s="48">
        <v>2000</v>
      </c>
      <c r="B81" s="29">
        <v>10</v>
      </c>
      <c r="C81" s="50" t="s">
        <v>106</v>
      </c>
      <c r="D81" s="50"/>
      <c r="E81" s="51" t="e">
        <f t="shared" si="1"/>
        <v>#VALUE!</v>
      </c>
      <c r="F81" s="51"/>
      <c r="G81" s="49" t="s">
        <v>11</v>
      </c>
      <c r="H81" s="10"/>
      <c r="I81" s="17"/>
    </row>
    <row r="82" spans="1:9" x14ac:dyDescent="0.25">
      <c r="A82" s="48"/>
      <c r="B82" s="29">
        <v>0</v>
      </c>
      <c r="C82" s="50" t="s">
        <v>107</v>
      </c>
      <c r="D82" s="50"/>
      <c r="E82" s="51" t="e">
        <f t="shared" si="1"/>
        <v>#VALUE!</v>
      </c>
      <c r="F82" s="51"/>
      <c r="G82" s="49"/>
      <c r="H82" s="10"/>
      <c r="I82" s="17"/>
    </row>
    <row r="83" spans="1:9" x14ac:dyDescent="0.25">
      <c r="A83" s="48"/>
      <c r="B83" s="30">
        <v>-10</v>
      </c>
      <c r="C83" s="50" t="s">
        <v>108</v>
      </c>
      <c r="D83" s="50"/>
      <c r="E83" s="51" t="e">
        <f t="shared" si="1"/>
        <v>#VALUE!</v>
      </c>
      <c r="F83" s="51"/>
      <c r="G83" s="49"/>
      <c r="H83" s="10"/>
      <c r="I83" s="17"/>
    </row>
    <row r="84" spans="1:9" x14ac:dyDescent="0.25">
      <c r="A84" s="48"/>
      <c r="B84" s="30">
        <v>-20</v>
      </c>
      <c r="C84" s="50" t="s">
        <v>109</v>
      </c>
      <c r="D84" s="50"/>
      <c r="E84" s="51" t="e">
        <f t="shared" si="1"/>
        <v>#VALUE!</v>
      </c>
      <c r="F84" s="51"/>
      <c r="G84" s="49"/>
      <c r="H84" s="10"/>
      <c r="I84" s="17"/>
    </row>
    <row r="85" spans="1:9" x14ac:dyDescent="0.25">
      <c r="A85" s="48"/>
      <c r="B85" s="30">
        <v>-30</v>
      </c>
      <c r="C85" s="50" t="s">
        <v>110</v>
      </c>
      <c r="D85" s="50"/>
      <c r="E85" s="51" t="e">
        <f t="shared" si="1"/>
        <v>#VALUE!</v>
      </c>
      <c r="F85" s="51"/>
      <c r="G85" s="49" t="s">
        <v>39</v>
      </c>
      <c r="H85" s="10"/>
      <c r="I85" s="17"/>
    </row>
    <row r="86" spans="1:9" x14ac:dyDescent="0.25">
      <c r="A86" s="48"/>
      <c r="B86" s="30">
        <v>-40</v>
      </c>
      <c r="C86" s="50" t="s">
        <v>187</v>
      </c>
      <c r="D86" s="50"/>
      <c r="E86" s="51" t="e">
        <f t="shared" si="1"/>
        <v>#VALUE!</v>
      </c>
      <c r="F86" s="51"/>
      <c r="G86" s="49"/>
      <c r="H86" s="10"/>
      <c r="I86" s="17"/>
    </row>
    <row r="87" spans="1:9" x14ac:dyDescent="0.25">
      <c r="A87" s="48"/>
      <c r="B87" s="30">
        <v>-50</v>
      </c>
      <c r="C87" s="50" t="s">
        <v>188</v>
      </c>
      <c r="D87" s="50"/>
      <c r="E87" s="51" t="e">
        <f t="shared" si="1"/>
        <v>#VALUE!</v>
      </c>
      <c r="F87" s="51"/>
      <c r="G87" s="49"/>
      <c r="H87" s="10"/>
      <c r="I87" s="17"/>
    </row>
    <row r="88" spans="1:9" x14ac:dyDescent="0.25">
      <c r="A88" s="48"/>
      <c r="B88" s="30">
        <v>-60</v>
      </c>
      <c r="C88" s="50" t="s">
        <v>189</v>
      </c>
      <c r="D88" s="50"/>
      <c r="E88" s="51" t="e">
        <f t="shared" si="1"/>
        <v>#VALUE!</v>
      </c>
      <c r="F88" s="51"/>
      <c r="G88" s="49"/>
      <c r="H88" s="10"/>
      <c r="I88" s="17"/>
    </row>
    <row r="89" spans="1:9" x14ac:dyDescent="0.25">
      <c r="A89" s="48"/>
      <c r="B89" s="30">
        <v>-70</v>
      </c>
      <c r="C89" s="50" t="s">
        <v>190</v>
      </c>
      <c r="D89" s="50"/>
      <c r="E89" s="51" t="e">
        <f t="shared" si="1"/>
        <v>#VALUE!</v>
      </c>
      <c r="F89" s="51"/>
      <c r="G89" s="49"/>
      <c r="H89" s="10"/>
      <c r="I89" s="17"/>
    </row>
    <row r="90" spans="1:9" x14ac:dyDescent="0.25">
      <c r="A90" s="48"/>
      <c r="B90" s="30">
        <v>-80</v>
      </c>
      <c r="C90" s="50" t="s">
        <v>191</v>
      </c>
      <c r="D90" s="50"/>
      <c r="E90" s="51" t="e">
        <f t="shared" si="1"/>
        <v>#VALUE!</v>
      </c>
      <c r="F90" s="51"/>
      <c r="G90" s="49"/>
      <c r="H90" s="10"/>
      <c r="I90" s="17"/>
    </row>
    <row r="91" spans="1:9" x14ac:dyDescent="0.25">
      <c r="A91" s="48"/>
      <c r="B91" s="30">
        <v>-90</v>
      </c>
      <c r="C91" s="50" t="s">
        <v>180</v>
      </c>
      <c r="D91" s="50"/>
      <c r="E91" s="51" t="e">
        <f t="shared" si="1"/>
        <v>#VALUE!</v>
      </c>
      <c r="F91" s="51"/>
      <c r="G91" s="49"/>
      <c r="H91" s="10"/>
      <c r="I91" s="17"/>
    </row>
    <row r="92" spans="1:9" x14ac:dyDescent="0.25">
      <c r="A92" s="48">
        <v>4000</v>
      </c>
      <c r="B92" s="29">
        <v>10</v>
      </c>
      <c r="C92" s="50" t="s">
        <v>111</v>
      </c>
      <c r="D92" s="50"/>
      <c r="E92" s="51" t="e">
        <f t="shared" si="1"/>
        <v>#VALUE!</v>
      </c>
      <c r="F92" s="51"/>
      <c r="G92" s="49" t="s">
        <v>11</v>
      </c>
      <c r="H92" s="10"/>
      <c r="I92" s="17"/>
    </row>
    <row r="93" spans="1:9" x14ac:dyDescent="0.25">
      <c r="A93" s="48"/>
      <c r="B93" s="29">
        <v>0</v>
      </c>
      <c r="C93" s="50" t="s">
        <v>112</v>
      </c>
      <c r="D93" s="50"/>
      <c r="E93" s="51" t="e">
        <f t="shared" si="1"/>
        <v>#VALUE!</v>
      </c>
      <c r="F93" s="51"/>
      <c r="G93" s="49"/>
      <c r="H93" s="10"/>
      <c r="I93" s="17"/>
    </row>
    <row r="94" spans="1:9" x14ac:dyDescent="0.25">
      <c r="A94" s="48"/>
      <c r="B94" s="30">
        <v>-10</v>
      </c>
      <c r="C94" s="50" t="s">
        <v>113</v>
      </c>
      <c r="D94" s="50"/>
      <c r="E94" s="51" t="e">
        <f t="shared" si="1"/>
        <v>#VALUE!</v>
      </c>
      <c r="F94" s="51"/>
      <c r="G94" s="49"/>
      <c r="H94" s="10"/>
      <c r="I94" s="17"/>
    </row>
    <row r="95" spans="1:9" x14ac:dyDescent="0.25">
      <c r="A95" s="48"/>
      <c r="B95" s="30">
        <v>-20</v>
      </c>
      <c r="C95" s="50" t="s">
        <v>114</v>
      </c>
      <c r="D95" s="50"/>
      <c r="E95" s="51" t="e">
        <f t="shared" si="1"/>
        <v>#VALUE!</v>
      </c>
      <c r="F95" s="51"/>
      <c r="G95" s="49"/>
      <c r="H95" s="10"/>
      <c r="I95" s="17"/>
    </row>
    <row r="96" spans="1:9" x14ac:dyDescent="0.25">
      <c r="A96" s="48"/>
      <c r="B96" s="30">
        <v>-30</v>
      </c>
      <c r="C96" s="50" t="s">
        <v>115</v>
      </c>
      <c r="D96" s="50"/>
      <c r="E96" s="51" t="e">
        <f t="shared" si="1"/>
        <v>#VALUE!</v>
      </c>
      <c r="F96" s="51"/>
      <c r="G96" s="49" t="s">
        <v>39</v>
      </c>
      <c r="H96" s="10"/>
    </row>
    <row r="97" spans="1:9" x14ac:dyDescent="0.25">
      <c r="A97" s="48"/>
      <c r="B97" s="30">
        <v>-40</v>
      </c>
      <c r="C97" s="50" t="s">
        <v>182</v>
      </c>
      <c r="D97" s="50"/>
      <c r="E97" s="51" t="e">
        <f t="shared" si="1"/>
        <v>#VALUE!</v>
      </c>
      <c r="F97" s="51"/>
      <c r="G97" s="49"/>
      <c r="H97" s="10"/>
    </row>
    <row r="98" spans="1:9" x14ac:dyDescent="0.25">
      <c r="A98" s="48"/>
      <c r="B98" s="30">
        <v>-50</v>
      </c>
      <c r="C98" s="50" t="s">
        <v>183</v>
      </c>
      <c r="D98" s="50"/>
      <c r="E98" s="51" t="e">
        <f t="shared" si="1"/>
        <v>#VALUE!</v>
      </c>
      <c r="F98" s="51"/>
      <c r="G98" s="49"/>
      <c r="H98" s="10"/>
    </row>
    <row r="99" spans="1:9" x14ac:dyDescent="0.25">
      <c r="A99" s="48"/>
      <c r="B99" s="30">
        <v>-60</v>
      </c>
      <c r="C99" s="50" t="s">
        <v>184</v>
      </c>
      <c r="D99" s="50"/>
      <c r="E99" s="51" t="e">
        <f t="shared" si="1"/>
        <v>#VALUE!</v>
      </c>
      <c r="F99" s="51"/>
      <c r="G99" s="49"/>
      <c r="H99" s="10"/>
    </row>
    <row r="100" spans="1:9" x14ac:dyDescent="0.25">
      <c r="A100" s="48"/>
      <c r="B100" s="30">
        <v>-70</v>
      </c>
      <c r="C100" s="50" t="s">
        <v>185</v>
      </c>
      <c r="D100" s="50"/>
      <c r="E100" s="51" t="e">
        <f t="shared" si="1"/>
        <v>#VALUE!</v>
      </c>
      <c r="F100" s="51"/>
      <c r="G100" s="49"/>
      <c r="H100" s="10"/>
    </row>
    <row r="101" spans="1:9" x14ac:dyDescent="0.25">
      <c r="A101" s="48"/>
      <c r="B101" s="30">
        <v>-80</v>
      </c>
      <c r="C101" s="50" t="s">
        <v>186</v>
      </c>
      <c r="D101" s="50"/>
      <c r="E101" s="51" t="e">
        <f t="shared" si="1"/>
        <v>#VALUE!</v>
      </c>
      <c r="F101" s="51"/>
      <c r="G101" s="49"/>
      <c r="H101" s="16"/>
      <c r="I101" s="14"/>
    </row>
    <row r="102" spans="1:9" x14ac:dyDescent="0.25">
      <c r="A102" s="48"/>
      <c r="B102" s="30">
        <v>-90</v>
      </c>
      <c r="C102" s="50" t="s">
        <v>181</v>
      </c>
      <c r="D102" s="50"/>
      <c r="E102" s="51" t="e">
        <f t="shared" si="1"/>
        <v>#VALUE!</v>
      </c>
      <c r="F102" s="51"/>
      <c r="G102" s="49"/>
      <c r="H102" s="8"/>
    </row>
    <row r="103" spans="1:9" x14ac:dyDescent="0.25">
      <c r="A103" s="48">
        <v>8000</v>
      </c>
      <c r="B103" s="29">
        <v>10</v>
      </c>
      <c r="C103" s="50" t="s">
        <v>116</v>
      </c>
      <c r="D103" s="50"/>
      <c r="E103" s="51" t="e">
        <f t="shared" si="1"/>
        <v>#VALUE!</v>
      </c>
      <c r="F103" s="51"/>
      <c r="G103" s="49" t="s">
        <v>11</v>
      </c>
      <c r="H103" s="17"/>
      <c r="I103" s="17"/>
    </row>
    <row r="104" spans="1:9" x14ac:dyDescent="0.25">
      <c r="A104" s="48"/>
      <c r="B104" s="29">
        <v>0</v>
      </c>
      <c r="C104" s="50" t="s">
        <v>117</v>
      </c>
      <c r="D104" s="50"/>
      <c r="E104" s="51" t="e">
        <f t="shared" si="1"/>
        <v>#VALUE!</v>
      </c>
      <c r="F104" s="51"/>
      <c r="G104" s="49"/>
      <c r="H104" s="17"/>
      <c r="I104" s="17"/>
    </row>
    <row r="105" spans="1:9" x14ac:dyDescent="0.25">
      <c r="A105" s="48"/>
      <c r="B105" s="30">
        <v>-10</v>
      </c>
      <c r="C105" s="50" t="s">
        <v>118</v>
      </c>
      <c r="D105" s="50"/>
      <c r="E105" s="51" t="e">
        <f t="shared" si="1"/>
        <v>#VALUE!</v>
      </c>
      <c r="F105" s="51"/>
      <c r="G105" s="49"/>
      <c r="H105" s="17"/>
      <c r="I105" s="17"/>
    </row>
    <row r="106" spans="1:9" x14ac:dyDescent="0.25">
      <c r="A106" s="48"/>
      <c r="B106" s="30">
        <v>-20</v>
      </c>
      <c r="C106" s="50" t="s">
        <v>119</v>
      </c>
      <c r="D106" s="50"/>
      <c r="E106" s="51" t="e">
        <f t="shared" si="1"/>
        <v>#VALUE!</v>
      </c>
      <c r="F106" s="51"/>
      <c r="G106" s="49"/>
      <c r="H106" s="17"/>
      <c r="I106" s="17"/>
    </row>
    <row r="107" spans="1:9" x14ac:dyDescent="0.25">
      <c r="A107" s="48"/>
      <c r="B107" s="30">
        <v>-30</v>
      </c>
      <c r="C107" s="50" t="s">
        <v>120</v>
      </c>
      <c r="D107" s="50"/>
      <c r="E107" s="51" t="e">
        <f t="shared" si="1"/>
        <v>#VALUE!</v>
      </c>
      <c r="F107" s="51"/>
      <c r="G107" s="49" t="s">
        <v>39</v>
      </c>
      <c r="H107" s="17"/>
      <c r="I107" s="17"/>
    </row>
    <row r="108" spans="1:9" x14ac:dyDescent="0.25">
      <c r="A108" s="48"/>
      <c r="B108" s="30">
        <v>-40</v>
      </c>
      <c r="C108" s="50" t="s">
        <v>197</v>
      </c>
      <c r="D108" s="50"/>
      <c r="E108" s="51" t="e">
        <f t="shared" si="1"/>
        <v>#VALUE!</v>
      </c>
      <c r="F108" s="51"/>
      <c r="G108" s="49"/>
      <c r="H108" s="17"/>
      <c r="I108" s="17"/>
    </row>
    <row r="109" spans="1:9" x14ac:dyDescent="0.25">
      <c r="A109" s="48"/>
      <c r="B109" s="30">
        <v>-50</v>
      </c>
      <c r="C109" s="50" t="s">
        <v>198</v>
      </c>
      <c r="D109" s="50"/>
      <c r="E109" s="51" t="e">
        <f t="shared" si="1"/>
        <v>#VALUE!</v>
      </c>
      <c r="F109" s="51"/>
      <c r="G109" s="49"/>
      <c r="H109" s="17"/>
      <c r="I109" s="17"/>
    </row>
    <row r="110" spans="1:9" x14ac:dyDescent="0.25">
      <c r="A110" s="48"/>
      <c r="B110" s="30">
        <v>-60</v>
      </c>
      <c r="C110" s="50" t="s">
        <v>199</v>
      </c>
      <c r="D110" s="50"/>
      <c r="E110" s="51" t="e">
        <f t="shared" si="1"/>
        <v>#VALUE!</v>
      </c>
      <c r="F110" s="51"/>
      <c r="G110" s="49"/>
      <c r="H110" s="17"/>
      <c r="I110" s="17"/>
    </row>
    <row r="111" spans="1:9" x14ac:dyDescent="0.25">
      <c r="A111" s="48"/>
      <c r="B111" s="30">
        <v>-70</v>
      </c>
      <c r="C111" s="50" t="s">
        <v>200</v>
      </c>
      <c r="D111" s="50"/>
      <c r="E111" s="51" t="e">
        <f t="shared" si="1"/>
        <v>#VALUE!</v>
      </c>
      <c r="F111" s="51"/>
      <c r="G111" s="49"/>
      <c r="H111" s="17"/>
      <c r="I111" s="17"/>
    </row>
    <row r="112" spans="1:9" x14ac:dyDescent="0.25">
      <c r="A112" s="48"/>
      <c r="B112" s="30">
        <v>-80</v>
      </c>
      <c r="C112" s="50" t="s">
        <v>201</v>
      </c>
      <c r="D112" s="50"/>
      <c r="E112" s="51" t="e">
        <f t="shared" si="1"/>
        <v>#VALUE!</v>
      </c>
      <c r="F112" s="51"/>
      <c r="G112" s="49"/>
      <c r="H112" s="17"/>
      <c r="I112" s="17"/>
    </row>
    <row r="113" spans="1:9" x14ac:dyDescent="0.25">
      <c r="A113" s="48"/>
      <c r="B113" s="30">
        <v>-90</v>
      </c>
      <c r="C113" s="50" t="s">
        <v>202</v>
      </c>
      <c r="D113" s="50"/>
      <c r="E113" s="51" t="e">
        <f t="shared" si="1"/>
        <v>#VALUE!</v>
      </c>
      <c r="F113" s="51"/>
      <c r="G113" s="49"/>
      <c r="H113" s="17"/>
      <c r="I113" s="17"/>
    </row>
    <row r="114" spans="1:9" x14ac:dyDescent="0.25">
      <c r="A114" s="48">
        <v>16000</v>
      </c>
      <c r="B114" s="29">
        <v>10</v>
      </c>
      <c r="C114" s="50" t="s">
        <v>121</v>
      </c>
      <c r="D114" s="50"/>
      <c r="E114" s="51" t="e">
        <f t="shared" si="1"/>
        <v>#VALUE!</v>
      </c>
      <c r="F114" s="51"/>
      <c r="G114" s="49" t="s">
        <v>11</v>
      </c>
      <c r="H114" s="17"/>
      <c r="I114" s="17"/>
    </row>
    <row r="115" spans="1:9" x14ac:dyDescent="0.25">
      <c r="A115" s="48"/>
      <c r="B115" s="29">
        <v>0</v>
      </c>
      <c r="C115" s="50" t="s">
        <v>122</v>
      </c>
      <c r="D115" s="50"/>
      <c r="E115" s="51" t="e">
        <f t="shared" si="1"/>
        <v>#VALUE!</v>
      </c>
      <c r="F115" s="51"/>
      <c r="G115" s="49"/>
      <c r="H115" s="17"/>
      <c r="I115" s="17"/>
    </row>
    <row r="116" spans="1:9" x14ac:dyDescent="0.25">
      <c r="A116" s="48"/>
      <c r="B116" s="30">
        <v>-10</v>
      </c>
      <c r="C116" s="50" t="s">
        <v>123</v>
      </c>
      <c r="D116" s="50"/>
      <c r="E116" s="51" t="e">
        <f t="shared" si="1"/>
        <v>#VALUE!</v>
      </c>
      <c r="F116" s="51"/>
      <c r="G116" s="49"/>
      <c r="H116" s="17"/>
      <c r="I116" s="17"/>
    </row>
    <row r="117" spans="1:9" x14ac:dyDescent="0.25">
      <c r="A117" s="48"/>
      <c r="B117" s="30">
        <v>-20</v>
      </c>
      <c r="C117" s="50" t="s">
        <v>124</v>
      </c>
      <c r="D117" s="50"/>
      <c r="E117" s="51" t="e">
        <f t="shared" si="1"/>
        <v>#VALUE!</v>
      </c>
      <c r="F117" s="51"/>
      <c r="G117" s="49"/>
      <c r="H117" s="17"/>
      <c r="I117" s="17"/>
    </row>
    <row r="118" spans="1:9" x14ac:dyDescent="0.25">
      <c r="A118" s="48"/>
      <c r="B118" s="30">
        <v>-30</v>
      </c>
      <c r="C118" s="50" t="s">
        <v>125</v>
      </c>
      <c r="D118" s="50"/>
      <c r="E118" s="51" t="e">
        <f t="shared" si="1"/>
        <v>#VALUE!</v>
      </c>
      <c r="F118" s="51"/>
      <c r="G118" s="49" t="s">
        <v>39</v>
      </c>
      <c r="H118" s="17"/>
      <c r="I118" s="17"/>
    </row>
    <row r="119" spans="1:9" x14ac:dyDescent="0.25">
      <c r="A119" s="48"/>
      <c r="B119" s="30">
        <v>-40</v>
      </c>
      <c r="C119" s="50" t="s">
        <v>203</v>
      </c>
      <c r="D119" s="50"/>
      <c r="E119" s="51" t="e">
        <f t="shared" si="1"/>
        <v>#VALUE!</v>
      </c>
      <c r="F119" s="51"/>
      <c r="G119" s="49"/>
      <c r="H119" s="17"/>
      <c r="I119" s="17"/>
    </row>
    <row r="120" spans="1:9" x14ac:dyDescent="0.25">
      <c r="A120" s="48"/>
      <c r="B120" s="30">
        <v>-50</v>
      </c>
      <c r="C120" s="50" t="s">
        <v>204</v>
      </c>
      <c r="D120" s="50"/>
      <c r="E120" s="51" t="e">
        <f t="shared" si="1"/>
        <v>#VALUE!</v>
      </c>
      <c r="F120" s="51"/>
      <c r="G120" s="49"/>
      <c r="H120" s="17"/>
      <c r="I120" s="17"/>
    </row>
    <row r="121" spans="1:9" x14ac:dyDescent="0.25">
      <c r="A121" s="48"/>
      <c r="B121" s="30">
        <v>-60</v>
      </c>
      <c r="C121" s="50" t="s">
        <v>205</v>
      </c>
      <c r="D121" s="50"/>
      <c r="E121" s="51" t="e">
        <f t="shared" si="1"/>
        <v>#VALUE!</v>
      </c>
      <c r="F121" s="51"/>
      <c r="G121" s="49"/>
      <c r="H121" s="17"/>
      <c r="I121" s="17"/>
    </row>
    <row r="122" spans="1:9" x14ac:dyDescent="0.25">
      <c r="A122" s="48"/>
      <c r="B122" s="30">
        <v>-70</v>
      </c>
      <c r="C122" s="50" t="s">
        <v>206</v>
      </c>
      <c r="D122" s="50"/>
      <c r="E122" s="51" t="e">
        <f t="shared" si="1"/>
        <v>#VALUE!</v>
      </c>
      <c r="F122" s="51"/>
      <c r="G122" s="49"/>
      <c r="H122" s="17"/>
      <c r="I122" s="17"/>
    </row>
    <row r="123" spans="1:9" x14ac:dyDescent="0.25">
      <c r="A123" s="48"/>
      <c r="B123" s="30">
        <v>-80</v>
      </c>
      <c r="C123" s="50" t="s">
        <v>207</v>
      </c>
      <c r="D123" s="50"/>
      <c r="E123" s="51" t="e">
        <f t="shared" si="1"/>
        <v>#VALUE!</v>
      </c>
      <c r="F123" s="51"/>
      <c r="G123" s="49"/>
      <c r="H123" s="17"/>
      <c r="I123" s="17"/>
    </row>
    <row r="124" spans="1:9" x14ac:dyDescent="0.25">
      <c r="A124" s="48"/>
      <c r="B124" s="30">
        <v>-90</v>
      </c>
      <c r="C124" s="50" t="s">
        <v>208</v>
      </c>
      <c r="D124" s="50"/>
      <c r="E124" s="51" t="e">
        <f t="shared" ref="E124:E135" si="2">B124-C124</f>
        <v>#VALUE!</v>
      </c>
      <c r="F124" s="51"/>
      <c r="G124" s="49"/>
      <c r="H124" s="17"/>
      <c r="I124" s="17"/>
    </row>
    <row r="125" spans="1:9" x14ac:dyDescent="0.25">
      <c r="A125" s="48">
        <v>20000</v>
      </c>
      <c r="B125" s="29">
        <v>10</v>
      </c>
      <c r="C125" s="50" t="s">
        <v>126</v>
      </c>
      <c r="D125" s="50"/>
      <c r="E125" s="51" t="e">
        <f t="shared" si="2"/>
        <v>#VALUE!</v>
      </c>
      <c r="F125" s="51"/>
      <c r="G125" s="49" t="s">
        <v>11</v>
      </c>
      <c r="H125" s="17"/>
      <c r="I125" s="17"/>
    </row>
    <row r="126" spans="1:9" x14ac:dyDescent="0.25">
      <c r="A126" s="48"/>
      <c r="B126" s="29">
        <v>0</v>
      </c>
      <c r="C126" s="50" t="s">
        <v>127</v>
      </c>
      <c r="D126" s="50"/>
      <c r="E126" s="51" t="e">
        <f t="shared" si="2"/>
        <v>#VALUE!</v>
      </c>
      <c r="F126" s="51"/>
      <c r="G126" s="49"/>
      <c r="H126" s="17"/>
      <c r="I126" s="17"/>
    </row>
    <row r="127" spans="1:9" x14ac:dyDescent="0.25">
      <c r="A127" s="48"/>
      <c r="B127" s="30">
        <v>-10</v>
      </c>
      <c r="C127" s="50" t="s">
        <v>128</v>
      </c>
      <c r="D127" s="50"/>
      <c r="E127" s="51" t="e">
        <f t="shared" si="2"/>
        <v>#VALUE!</v>
      </c>
      <c r="F127" s="51"/>
      <c r="G127" s="49"/>
      <c r="H127" s="17"/>
      <c r="I127" s="17"/>
    </row>
    <row r="128" spans="1:9" x14ac:dyDescent="0.25">
      <c r="A128" s="48"/>
      <c r="B128" s="30">
        <v>-20</v>
      </c>
      <c r="C128" s="50" t="s">
        <v>129</v>
      </c>
      <c r="D128" s="50"/>
      <c r="E128" s="51" t="e">
        <f t="shared" si="2"/>
        <v>#VALUE!</v>
      </c>
      <c r="F128" s="51"/>
      <c r="G128" s="49"/>
      <c r="H128" s="17"/>
      <c r="I128" s="17"/>
    </row>
    <row r="129" spans="1:9" x14ac:dyDescent="0.25">
      <c r="A129" s="48"/>
      <c r="B129" s="30">
        <v>-30</v>
      </c>
      <c r="C129" s="50" t="s">
        <v>130</v>
      </c>
      <c r="D129" s="50"/>
      <c r="E129" s="51" t="e">
        <f t="shared" si="2"/>
        <v>#VALUE!</v>
      </c>
      <c r="F129" s="51"/>
      <c r="G129" s="49" t="s">
        <v>39</v>
      </c>
      <c r="H129" s="17"/>
      <c r="I129" s="17"/>
    </row>
    <row r="130" spans="1:9" x14ac:dyDescent="0.25">
      <c r="A130" s="48"/>
      <c r="B130" s="30">
        <v>-40</v>
      </c>
      <c r="C130" s="50" t="s">
        <v>209</v>
      </c>
      <c r="D130" s="50"/>
      <c r="E130" s="51" t="e">
        <f t="shared" si="2"/>
        <v>#VALUE!</v>
      </c>
      <c r="F130" s="51"/>
      <c r="G130" s="49"/>
      <c r="H130" s="17"/>
      <c r="I130" s="17"/>
    </row>
    <row r="131" spans="1:9" x14ac:dyDescent="0.25">
      <c r="A131" s="48"/>
      <c r="B131" s="30">
        <v>-50</v>
      </c>
      <c r="C131" s="50" t="s">
        <v>210</v>
      </c>
      <c r="D131" s="50"/>
      <c r="E131" s="51" t="e">
        <f t="shared" si="2"/>
        <v>#VALUE!</v>
      </c>
      <c r="F131" s="51"/>
      <c r="G131" s="49"/>
      <c r="H131" s="17"/>
      <c r="I131" s="17"/>
    </row>
    <row r="132" spans="1:9" x14ac:dyDescent="0.25">
      <c r="A132" s="48"/>
      <c r="B132" s="30">
        <v>-60</v>
      </c>
      <c r="C132" s="50" t="s">
        <v>211</v>
      </c>
      <c r="D132" s="50"/>
      <c r="E132" s="51" t="e">
        <f t="shared" si="2"/>
        <v>#VALUE!</v>
      </c>
      <c r="F132" s="51"/>
      <c r="G132" s="49"/>
      <c r="H132" s="17"/>
      <c r="I132" s="17"/>
    </row>
    <row r="133" spans="1:9" x14ac:dyDescent="0.25">
      <c r="A133" s="48"/>
      <c r="B133" s="30">
        <v>-70</v>
      </c>
      <c r="C133" s="50" t="s">
        <v>212</v>
      </c>
      <c r="D133" s="50"/>
      <c r="E133" s="51" t="e">
        <f t="shared" si="2"/>
        <v>#VALUE!</v>
      </c>
      <c r="F133" s="51"/>
      <c r="G133" s="49"/>
      <c r="H133" s="17"/>
      <c r="I133" s="17"/>
    </row>
    <row r="134" spans="1:9" x14ac:dyDescent="0.25">
      <c r="A134" s="48"/>
      <c r="B134" s="30">
        <v>-80</v>
      </c>
      <c r="C134" s="50" t="s">
        <v>213</v>
      </c>
      <c r="D134" s="50"/>
      <c r="E134" s="51" t="e">
        <f t="shared" si="2"/>
        <v>#VALUE!</v>
      </c>
      <c r="F134" s="51"/>
      <c r="G134" s="49"/>
      <c r="H134" s="17"/>
      <c r="I134" s="17"/>
    </row>
    <row r="135" spans="1:9" x14ac:dyDescent="0.25">
      <c r="A135" s="48"/>
      <c r="B135" s="30">
        <v>-90</v>
      </c>
      <c r="C135" s="50" t="s">
        <v>214</v>
      </c>
      <c r="D135" s="50"/>
      <c r="E135" s="51" t="e">
        <f t="shared" si="2"/>
        <v>#VALUE!</v>
      </c>
      <c r="F135" s="51"/>
      <c r="G135" s="49"/>
      <c r="H135" s="17"/>
      <c r="I135" s="17"/>
    </row>
    <row r="136" spans="1:9" x14ac:dyDescent="0.25">
      <c r="A136" s="14"/>
      <c r="B136" s="11"/>
      <c r="C136" s="15"/>
      <c r="D136" s="16"/>
      <c r="E136" s="11"/>
      <c r="F136" s="17"/>
      <c r="G136" s="17"/>
      <c r="H136" s="17"/>
      <c r="I136" s="17"/>
    </row>
    <row r="137" spans="1:9" ht="15" customHeight="1" x14ac:dyDescent="0.25">
      <c r="A137" s="97" t="s">
        <v>51</v>
      </c>
      <c r="B137" s="97"/>
      <c r="C137" s="97"/>
      <c r="D137" s="97"/>
      <c r="E137" s="97"/>
      <c r="F137" s="97"/>
      <c r="G137" s="97"/>
      <c r="H137" s="97"/>
      <c r="I137" s="97"/>
    </row>
    <row r="138" spans="1:9" x14ac:dyDescent="0.25">
      <c r="A138" s="97"/>
      <c r="B138" s="97"/>
      <c r="C138" s="97"/>
      <c r="D138" s="97"/>
      <c r="E138" s="97"/>
      <c r="F138" s="97"/>
      <c r="G138" s="97"/>
      <c r="H138" s="97"/>
      <c r="I138" s="97"/>
    </row>
    <row r="139" spans="1:9" ht="25.5" x14ac:dyDescent="0.25">
      <c r="A139" s="31" t="s">
        <v>13</v>
      </c>
      <c r="B139" s="29" t="s">
        <v>4</v>
      </c>
      <c r="C139" s="33" t="s">
        <v>42</v>
      </c>
      <c r="D139" s="27" t="s">
        <v>37</v>
      </c>
      <c r="E139" s="48" t="s">
        <v>49</v>
      </c>
      <c r="F139" s="48"/>
      <c r="G139" s="58" t="s">
        <v>8</v>
      </c>
      <c r="H139" s="58"/>
      <c r="I139" s="7"/>
    </row>
    <row r="140" spans="1:9" x14ac:dyDescent="0.25">
      <c r="A140" s="48">
        <v>10</v>
      </c>
      <c r="B140" s="49">
        <v>10</v>
      </c>
      <c r="C140" s="33" t="s">
        <v>43</v>
      </c>
      <c r="D140" s="32">
        <v>20</v>
      </c>
      <c r="E140" s="98" t="s">
        <v>134</v>
      </c>
      <c r="F140" s="98"/>
      <c r="G140" s="49">
        <v>-35</v>
      </c>
      <c r="H140" s="49"/>
      <c r="I140" s="7"/>
    </row>
    <row r="141" spans="1:9" x14ac:dyDescent="0.25">
      <c r="A141" s="48"/>
      <c r="B141" s="49"/>
      <c r="C141" s="33" t="s">
        <v>44</v>
      </c>
      <c r="D141" s="32">
        <v>30</v>
      </c>
      <c r="E141" s="98" t="s">
        <v>135</v>
      </c>
      <c r="F141" s="98"/>
      <c r="G141" s="49"/>
      <c r="H141" s="49"/>
      <c r="I141" s="7"/>
    </row>
    <row r="142" spans="1:9" x14ac:dyDescent="0.25">
      <c r="A142" s="48">
        <v>1000</v>
      </c>
      <c r="B142" s="49">
        <v>10</v>
      </c>
      <c r="C142" s="33" t="s">
        <v>43</v>
      </c>
      <c r="D142" s="32">
        <v>2000</v>
      </c>
      <c r="E142" s="98" t="s">
        <v>136</v>
      </c>
      <c r="F142" s="98"/>
      <c r="G142" s="49">
        <v>-50</v>
      </c>
      <c r="H142" s="49"/>
      <c r="I142" s="7"/>
    </row>
    <row r="143" spans="1:9" x14ac:dyDescent="0.25">
      <c r="A143" s="48"/>
      <c r="B143" s="49"/>
      <c r="C143" s="33" t="s">
        <v>44</v>
      </c>
      <c r="D143" s="32">
        <v>3000</v>
      </c>
      <c r="E143" s="98" t="s">
        <v>137</v>
      </c>
      <c r="F143" s="98"/>
      <c r="G143" s="49"/>
      <c r="H143" s="49"/>
      <c r="I143" s="7"/>
    </row>
    <row r="144" spans="1:9" x14ac:dyDescent="0.25">
      <c r="A144" s="48">
        <v>2000</v>
      </c>
      <c r="B144" s="49">
        <v>10</v>
      </c>
      <c r="C144" s="33" t="s">
        <v>43</v>
      </c>
      <c r="D144" s="32">
        <v>4000</v>
      </c>
      <c r="E144" s="98" t="s">
        <v>138</v>
      </c>
      <c r="F144" s="98"/>
      <c r="G144" s="49">
        <v>-50</v>
      </c>
      <c r="H144" s="49"/>
      <c r="I144" s="7"/>
    </row>
    <row r="145" spans="1:9" x14ac:dyDescent="0.25">
      <c r="A145" s="48"/>
      <c r="B145" s="49"/>
      <c r="C145" s="33" t="s">
        <v>44</v>
      </c>
      <c r="D145" s="32">
        <v>6000</v>
      </c>
      <c r="E145" s="98" t="s">
        <v>139</v>
      </c>
      <c r="F145" s="98"/>
      <c r="G145" s="49"/>
      <c r="H145" s="49"/>
      <c r="I145" s="7"/>
    </row>
    <row r="146" spans="1:9" x14ac:dyDescent="0.25">
      <c r="A146" s="48"/>
      <c r="B146" s="49"/>
      <c r="C146" s="33" t="s">
        <v>45</v>
      </c>
      <c r="D146" s="32">
        <v>1000</v>
      </c>
      <c r="E146" s="98" t="s">
        <v>140</v>
      </c>
      <c r="F146" s="98"/>
      <c r="G146" s="49"/>
      <c r="H146" s="49"/>
      <c r="I146" s="7"/>
    </row>
    <row r="147" spans="1:9" x14ac:dyDescent="0.25">
      <c r="A147" s="48"/>
      <c r="B147" s="49"/>
      <c r="C147" s="33" t="s">
        <v>46</v>
      </c>
      <c r="D147" s="32">
        <v>666.6</v>
      </c>
      <c r="E147" s="98" t="s">
        <v>141</v>
      </c>
      <c r="F147" s="98"/>
      <c r="G147" s="49"/>
      <c r="H147" s="49"/>
      <c r="I147" s="7"/>
    </row>
    <row r="148" spans="1:9" x14ac:dyDescent="0.25">
      <c r="A148" s="48"/>
      <c r="B148" s="49"/>
      <c r="C148" s="33" t="s">
        <v>47</v>
      </c>
      <c r="D148" s="32">
        <v>3000</v>
      </c>
      <c r="E148" s="98" t="s">
        <v>142</v>
      </c>
      <c r="F148" s="98"/>
      <c r="G148" s="49"/>
      <c r="H148" s="49"/>
      <c r="I148" s="7"/>
    </row>
    <row r="149" spans="1:9" x14ac:dyDescent="0.25">
      <c r="A149" s="48"/>
      <c r="B149" s="49"/>
      <c r="C149" s="33" t="s">
        <v>48</v>
      </c>
      <c r="D149" s="32">
        <v>1333.3</v>
      </c>
      <c r="E149" s="98" t="s">
        <v>143</v>
      </c>
      <c r="F149" s="98"/>
      <c r="G149" s="49"/>
      <c r="H149" s="49"/>
      <c r="I149" s="7"/>
    </row>
    <row r="150" spans="1:9" x14ac:dyDescent="0.25">
      <c r="A150" s="48">
        <v>4000</v>
      </c>
      <c r="B150" s="49">
        <v>10</v>
      </c>
      <c r="C150" s="33" t="s">
        <v>43</v>
      </c>
      <c r="D150" s="32">
        <v>8000</v>
      </c>
      <c r="E150" s="98" t="s">
        <v>144</v>
      </c>
      <c r="F150" s="98"/>
      <c r="G150" s="49">
        <v>-50</v>
      </c>
      <c r="H150" s="49"/>
      <c r="I150" s="7"/>
    </row>
    <row r="151" spans="1:9" x14ac:dyDescent="0.25">
      <c r="A151" s="48"/>
      <c r="B151" s="49"/>
      <c r="C151" s="33" t="s">
        <v>44</v>
      </c>
      <c r="D151" s="32">
        <v>12000</v>
      </c>
      <c r="E151" s="98" t="s">
        <v>145</v>
      </c>
      <c r="F151" s="98"/>
      <c r="G151" s="49"/>
      <c r="H151" s="49"/>
      <c r="I151" s="7"/>
    </row>
    <row r="152" spans="1:9" x14ac:dyDescent="0.25">
      <c r="A152" s="48"/>
      <c r="B152" s="49"/>
      <c r="C152" s="33" t="s">
        <v>45</v>
      </c>
      <c r="D152" s="32">
        <v>2000</v>
      </c>
      <c r="E152" s="98" t="s">
        <v>146</v>
      </c>
      <c r="F152" s="98"/>
      <c r="G152" s="49"/>
      <c r="H152" s="49"/>
      <c r="I152" s="7"/>
    </row>
    <row r="153" spans="1:9" x14ac:dyDescent="0.25">
      <c r="A153" s="48"/>
      <c r="B153" s="49"/>
      <c r="C153" s="33" t="s">
        <v>46</v>
      </c>
      <c r="D153" s="32">
        <v>1333.3</v>
      </c>
      <c r="E153" s="98" t="s">
        <v>147</v>
      </c>
      <c r="F153" s="98"/>
      <c r="G153" s="49"/>
      <c r="H153" s="49"/>
      <c r="I153" s="7"/>
    </row>
    <row r="154" spans="1:9" x14ac:dyDescent="0.25">
      <c r="A154" s="48"/>
      <c r="B154" s="49"/>
      <c r="C154" s="33" t="s">
        <v>47</v>
      </c>
      <c r="D154" s="32">
        <v>6000</v>
      </c>
      <c r="E154" s="98" t="s">
        <v>148</v>
      </c>
      <c r="F154" s="98"/>
      <c r="G154" s="49"/>
      <c r="H154" s="49"/>
      <c r="I154" s="7"/>
    </row>
    <row r="155" spans="1:9" x14ac:dyDescent="0.25">
      <c r="A155" s="48"/>
      <c r="B155" s="49"/>
      <c r="C155" s="33" t="s">
        <v>48</v>
      </c>
      <c r="D155" s="32">
        <v>2666.6</v>
      </c>
      <c r="E155" s="98" t="s">
        <v>149</v>
      </c>
      <c r="F155" s="98"/>
      <c r="G155" s="49"/>
      <c r="H155" s="49"/>
      <c r="I155" s="7"/>
    </row>
    <row r="156" spans="1:9" x14ac:dyDescent="0.25">
      <c r="A156" s="48">
        <v>8000</v>
      </c>
      <c r="B156" s="49">
        <v>10</v>
      </c>
      <c r="C156" s="33" t="s">
        <v>43</v>
      </c>
      <c r="D156" s="32">
        <v>16000</v>
      </c>
      <c r="E156" s="98" t="s">
        <v>150</v>
      </c>
      <c r="F156" s="98"/>
      <c r="G156" s="49">
        <v>-35</v>
      </c>
      <c r="H156" s="49"/>
      <c r="I156" s="7"/>
    </row>
    <row r="157" spans="1:9" x14ac:dyDescent="0.25">
      <c r="A157" s="48"/>
      <c r="B157" s="49"/>
      <c r="C157" s="33" t="s">
        <v>44</v>
      </c>
      <c r="D157" s="32">
        <v>24000</v>
      </c>
      <c r="E157" s="98" t="s">
        <v>151</v>
      </c>
      <c r="F157" s="98"/>
      <c r="G157" s="49"/>
      <c r="H157" s="49"/>
      <c r="I157" s="7"/>
    </row>
    <row r="158" spans="1:9" x14ac:dyDescent="0.25">
      <c r="A158" s="48"/>
      <c r="B158" s="49"/>
      <c r="C158" s="33" t="s">
        <v>45</v>
      </c>
      <c r="D158" s="32">
        <v>4000</v>
      </c>
      <c r="E158" s="98" t="s">
        <v>152</v>
      </c>
      <c r="F158" s="98"/>
      <c r="G158" s="49">
        <v>-50</v>
      </c>
      <c r="H158" s="49"/>
      <c r="I158" s="7"/>
    </row>
    <row r="159" spans="1:9" x14ac:dyDescent="0.25">
      <c r="A159" s="48"/>
      <c r="B159" s="49"/>
      <c r="C159" s="33" t="s">
        <v>46</v>
      </c>
      <c r="D159" s="32">
        <v>2666.6</v>
      </c>
      <c r="E159" s="98" t="s">
        <v>153</v>
      </c>
      <c r="F159" s="98"/>
      <c r="G159" s="49"/>
      <c r="H159" s="49"/>
      <c r="I159" s="7"/>
    </row>
    <row r="160" spans="1:9" x14ac:dyDescent="0.25">
      <c r="A160" s="48"/>
      <c r="B160" s="49"/>
      <c r="C160" s="33" t="s">
        <v>47</v>
      </c>
      <c r="D160" s="32">
        <v>12000</v>
      </c>
      <c r="E160" s="98" t="s">
        <v>154</v>
      </c>
      <c r="F160" s="98"/>
      <c r="G160" s="49"/>
      <c r="H160" s="49"/>
      <c r="I160" s="7"/>
    </row>
    <row r="161" spans="1:10" x14ac:dyDescent="0.25">
      <c r="A161" s="48"/>
      <c r="B161" s="49"/>
      <c r="C161" s="33" t="s">
        <v>48</v>
      </c>
      <c r="D161" s="32">
        <v>5333.3</v>
      </c>
      <c r="E161" s="98" t="s">
        <v>155</v>
      </c>
      <c r="F161" s="98"/>
      <c r="G161" s="49"/>
      <c r="H161" s="49"/>
      <c r="I161" s="7"/>
    </row>
    <row r="162" spans="1:10" x14ac:dyDescent="0.25">
      <c r="A162" s="48">
        <v>16000</v>
      </c>
      <c r="B162" s="49">
        <v>10</v>
      </c>
      <c r="C162" s="33" t="s">
        <v>43</v>
      </c>
      <c r="D162" s="32">
        <v>32000</v>
      </c>
      <c r="E162" s="98" t="s">
        <v>156</v>
      </c>
      <c r="F162" s="98"/>
      <c r="G162" s="49">
        <v>-45</v>
      </c>
      <c r="H162" s="49"/>
      <c r="I162" s="7"/>
    </row>
    <row r="163" spans="1:10" x14ac:dyDescent="0.25">
      <c r="A163" s="48"/>
      <c r="B163" s="49"/>
      <c r="C163" s="33" t="s">
        <v>45</v>
      </c>
      <c r="D163" s="32">
        <v>8000</v>
      </c>
      <c r="E163" s="98" t="s">
        <v>157</v>
      </c>
      <c r="F163" s="98"/>
      <c r="G163" s="49">
        <v>-40</v>
      </c>
      <c r="H163" s="49"/>
      <c r="I163" s="7"/>
    </row>
    <row r="164" spans="1:10" x14ac:dyDescent="0.25">
      <c r="A164" s="48"/>
      <c r="B164" s="49"/>
      <c r="C164" s="33" t="s">
        <v>46</v>
      </c>
      <c r="D164" s="32">
        <v>5333.3</v>
      </c>
      <c r="E164" s="98" t="s">
        <v>158</v>
      </c>
      <c r="F164" s="98"/>
      <c r="G164" s="49"/>
      <c r="H164" s="49"/>
      <c r="I164" s="7"/>
    </row>
    <row r="165" spans="1:10" x14ac:dyDescent="0.25">
      <c r="A165" s="48"/>
      <c r="B165" s="49"/>
      <c r="C165" s="33" t="s">
        <v>47</v>
      </c>
      <c r="D165" s="32">
        <v>24000</v>
      </c>
      <c r="E165" s="98" t="s">
        <v>159</v>
      </c>
      <c r="F165" s="98"/>
      <c r="G165" s="49"/>
      <c r="H165" s="49"/>
      <c r="I165" s="7"/>
    </row>
    <row r="166" spans="1:10" x14ac:dyDescent="0.25">
      <c r="A166" s="48"/>
      <c r="B166" s="49"/>
      <c r="C166" s="33" t="s">
        <v>48</v>
      </c>
      <c r="D166" s="32">
        <v>10666.6</v>
      </c>
      <c r="E166" s="98" t="s">
        <v>160</v>
      </c>
      <c r="F166" s="98"/>
      <c r="G166" s="49"/>
      <c r="H166" s="49"/>
      <c r="I166" s="7"/>
    </row>
    <row r="167" spans="1:10" x14ac:dyDescent="0.25">
      <c r="A167" s="48">
        <v>20000</v>
      </c>
      <c r="B167" s="49">
        <v>10</v>
      </c>
      <c r="C167" s="33" t="s">
        <v>43</v>
      </c>
      <c r="D167" s="32">
        <v>40000</v>
      </c>
      <c r="E167" s="98" t="s">
        <v>161</v>
      </c>
      <c r="F167" s="98"/>
      <c r="G167" s="49">
        <v>-45</v>
      </c>
      <c r="H167" s="49"/>
      <c r="I167" s="7"/>
    </row>
    <row r="168" spans="1:10" x14ac:dyDescent="0.25">
      <c r="A168" s="48"/>
      <c r="B168" s="49"/>
      <c r="C168" s="33" t="s">
        <v>45</v>
      </c>
      <c r="D168" s="32">
        <v>10000</v>
      </c>
      <c r="E168" s="98" t="s">
        <v>162</v>
      </c>
      <c r="F168" s="98"/>
      <c r="G168" s="49">
        <v>-40</v>
      </c>
      <c r="H168" s="49"/>
      <c r="I168" s="7"/>
    </row>
    <row r="169" spans="1:10" x14ac:dyDescent="0.25">
      <c r="A169" s="48"/>
      <c r="B169" s="49"/>
      <c r="C169" s="33" t="s">
        <v>46</v>
      </c>
      <c r="D169" s="32">
        <v>6666.6</v>
      </c>
      <c r="E169" s="98" t="s">
        <v>163</v>
      </c>
      <c r="F169" s="98"/>
      <c r="G169" s="49"/>
      <c r="H169" s="49"/>
      <c r="I169" s="7"/>
    </row>
    <row r="170" spans="1:10" x14ac:dyDescent="0.25">
      <c r="A170" s="48"/>
      <c r="B170" s="49"/>
      <c r="C170" s="33" t="s">
        <v>47</v>
      </c>
      <c r="D170" s="32">
        <v>30000</v>
      </c>
      <c r="E170" s="98" t="s">
        <v>164</v>
      </c>
      <c r="F170" s="98"/>
      <c r="G170" s="49"/>
      <c r="H170" s="49"/>
      <c r="I170" s="7"/>
    </row>
    <row r="171" spans="1:10" x14ac:dyDescent="0.25">
      <c r="A171" s="48"/>
      <c r="B171" s="49"/>
      <c r="C171" s="33" t="s">
        <v>48</v>
      </c>
      <c r="D171" s="32">
        <v>13333.3</v>
      </c>
      <c r="E171" s="98" t="s">
        <v>165</v>
      </c>
      <c r="F171" s="98"/>
      <c r="G171" s="49"/>
      <c r="H171" s="49"/>
      <c r="I171" s="7"/>
    </row>
    <row r="172" spans="1:10" x14ac:dyDescent="0.25">
      <c r="A172" s="14"/>
      <c r="B172" s="11"/>
      <c r="C172" s="28"/>
      <c r="D172" s="16"/>
      <c r="E172" s="11"/>
      <c r="F172" s="17"/>
      <c r="G172" s="17"/>
      <c r="H172" s="17"/>
      <c r="I172" s="17"/>
    </row>
    <row r="173" spans="1:10" ht="25.5" x14ac:dyDescent="0.25">
      <c r="A173" s="31" t="s">
        <v>13</v>
      </c>
      <c r="B173" s="29" t="s">
        <v>4</v>
      </c>
      <c r="C173" s="33" t="s">
        <v>42</v>
      </c>
      <c r="D173" s="58" t="s">
        <v>57</v>
      </c>
      <c r="E173" s="58"/>
      <c r="F173" s="58" t="s">
        <v>8</v>
      </c>
      <c r="G173" s="58"/>
      <c r="H173" s="17"/>
      <c r="I173" s="7"/>
      <c r="J173"/>
    </row>
    <row r="174" spans="1:10" x14ac:dyDescent="0.25">
      <c r="A174" s="29">
        <v>10</v>
      </c>
      <c r="B174" s="49">
        <v>10</v>
      </c>
      <c r="C174" s="99" t="s">
        <v>50</v>
      </c>
      <c r="D174" s="100" t="s">
        <v>166</v>
      </c>
      <c r="E174" s="100"/>
      <c r="F174" s="49">
        <v>-50</v>
      </c>
      <c r="G174" s="49"/>
      <c r="H174" s="17"/>
      <c r="I174" s="17"/>
    </row>
    <row r="175" spans="1:10" x14ac:dyDescent="0.25">
      <c r="A175" s="29">
        <v>1000</v>
      </c>
      <c r="B175" s="49"/>
      <c r="C175" s="99"/>
      <c r="D175" s="100" t="s">
        <v>167</v>
      </c>
      <c r="E175" s="100"/>
      <c r="F175" s="49">
        <v>-65</v>
      </c>
      <c r="G175" s="49"/>
      <c r="H175" s="17"/>
      <c r="I175" s="17"/>
    </row>
    <row r="176" spans="1:10" x14ac:dyDescent="0.25">
      <c r="A176" s="29">
        <v>2000</v>
      </c>
      <c r="B176" s="49"/>
      <c r="C176" s="99"/>
      <c r="D176" s="100" t="s">
        <v>168</v>
      </c>
      <c r="E176" s="100"/>
      <c r="F176" s="49">
        <v>-60</v>
      </c>
      <c r="G176" s="49"/>
      <c r="H176" s="17"/>
      <c r="I176" s="17"/>
    </row>
    <row r="177" spans="1:9" x14ac:dyDescent="0.25">
      <c r="A177" s="29">
        <v>4000</v>
      </c>
      <c r="B177" s="49"/>
      <c r="C177" s="99"/>
      <c r="D177" s="100" t="s">
        <v>169</v>
      </c>
      <c r="E177" s="100"/>
      <c r="F177" s="49">
        <v>-60</v>
      </c>
      <c r="G177" s="49"/>
      <c r="H177" s="17"/>
      <c r="I177" s="17"/>
    </row>
    <row r="178" spans="1:9" x14ac:dyDescent="0.25">
      <c r="A178" s="29">
        <v>8000</v>
      </c>
      <c r="B178" s="49"/>
      <c r="C178" s="99"/>
      <c r="D178" s="100" t="s">
        <v>170</v>
      </c>
      <c r="E178" s="100"/>
      <c r="F178" s="49">
        <v>-50</v>
      </c>
      <c r="G178" s="49"/>
      <c r="H178" s="17"/>
      <c r="I178" s="17"/>
    </row>
    <row r="179" spans="1:9" x14ac:dyDescent="0.25">
      <c r="A179" s="29">
        <v>16000</v>
      </c>
      <c r="B179" s="49"/>
      <c r="C179" s="99"/>
      <c r="D179" s="100" t="s">
        <v>171</v>
      </c>
      <c r="E179" s="100"/>
      <c r="F179" s="49">
        <v>-45</v>
      </c>
      <c r="G179" s="49"/>
      <c r="H179" s="17"/>
      <c r="I179" s="17"/>
    </row>
    <row r="180" spans="1:9" x14ac:dyDescent="0.25">
      <c r="A180" s="29">
        <v>20000</v>
      </c>
      <c r="B180" s="49"/>
      <c r="C180" s="99"/>
      <c r="D180" s="100" t="s">
        <v>172</v>
      </c>
      <c r="E180" s="100"/>
      <c r="F180" s="49">
        <v>-45</v>
      </c>
      <c r="G180" s="49"/>
      <c r="H180" s="17"/>
      <c r="I180" s="17"/>
    </row>
    <row r="181" spans="1:9" x14ac:dyDescent="0.25">
      <c r="A181" s="14"/>
      <c r="B181" s="11"/>
      <c r="C181" s="15"/>
      <c r="D181" s="16"/>
      <c r="E181" s="11"/>
      <c r="F181" s="17"/>
      <c r="G181" s="17"/>
      <c r="H181" s="17"/>
      <c r="I181" s="17"/>
    </row>
    <row r="182" spans="1:9" x14ac:dyDescent="0.25">
      <c r="A182" s="5" t="s">
        <v>52</v>
      </c>
      <c r="B182" s="11"/>
      <c r="C182" s="15"/>
      <c r="D182" s="16"/>
      <c r="E182" s="11"/>
      <c r="F182" s="17"/>
      <c r="G182" s="17"/>
      <c r="H182" s="17"/>
      <c r="I182" s="17"/>
    </row>
    <row r="183" spans="1:9" x14ac:dyDescent="0.25">
      <c r="A183" s="29" t="s">
        <v>4</v>
      </c>
      <c r="B183" s="30" t="s">
        <v>54</v>
      </c>
      <c r="C183" s="99" t="s">
        <v>56</v>
      </c>
      <c r="D183" s="99"/>
      <c r="E183" s="58" t="s">
        <v>55</v>
      </c>
      <c r="F183" s="58"/>
      <c r="G183" s="17"/>
      <c r="H183" s="17"/>
      <c r="I183" s="17"/>
    </row>
    <row r="184" spans="1:9" x14ac:dyDescent="0.25">
      <c r="A184" s="29">
        <v>-30</v>
      </c>
      <c r="B184" s="30">
        <v>10</v>
      </c>
      <c r="C184" s="50">
        <v>1.36</v>
      </c>
      <c r="D184" s="50"/>
      <c r="E184" s="99">
        <v>1.7</v>
      </c>
      <c r="F184" s="99"/>
      <c r="G184" s="17"/>
      <c r="H184" s="17"/>
      <c r="I184" s="17"/>
    </row>
    <row r="185" spans="1:9" x14ac:dyDescent="0.25">
      <c r="A185" s="29">
        <v>-40</v>
      </c>
      <c r="B185" s="30">
        <v>20</v>
      </c>
      <c r="C185" s="50">
        <v>1.36</v>
      </c>
      <c r="D185" s="50"/>
      <c r="E185" s="99"/>
      <c r="F185" s="99"/>
      <c r="G185" s="17"/>
      <c r="H185" s="17"/>
      <c r="I185" s="17"/>
    </row>
    <row r="186" spans="1:9" x14ac:dyDescent="0.25">
      <c r="A186" s="29">
        <v>-50</v>
      </c>
      <c r="B186" s="30">
        <v>30</v>
      </c>
      <c r="C186" s="50">
        <v>1.32</v>
      </c>
      <c r="D186" s="50"/>
      <c r="E186" s="99"/>
      <c r="F186" s="99"/>
      <c r="G186" s="17"/>
      <c r="H186" s="17"/>
      <c r="I186" s="17"/>
    </row>
    <row r="187" spans="1:9" x14ac:dyDescent="0.25">
      <c r="A187" s="29">
        <v>-60</v>
      </c>
      <c r="B187" s="30">
        <v>40</v>
      </c>
      <c r="C187" s="50">
        <v>1.27</v>
      </c>
      <c r="D187" s="50"/>
      <c r="E187" s="99"/>
      <c r="F187" s="99"/>
      <c r="G187" s="17"/>
      <c r="H187" s="17"/>
      <c r="I187" s="17"/>
    </row>
    <row r="188" spans="1:9" x14ac:dyDescent="0.25">
      <c r="A188" s="29">
        <v>-70</v>
      </c>
      <c r="B188" s="30">
        <v>50</v>
      </c>
      <c r="C188" s="50">
        <v>1.31</v>
      </c>
      <c r="D188" s="50"/>
      <c r="E188" s="99"/>
      <c r="F188" s="99"/>
      <c r="G188" s="17"/>
      <c r="H188" s="17"/>
      <c r="I188" s="17"/>
    </row>
    <row r="189" spans="1:9" x14ac:dyDescent="0.25">
      <c r="A189" s="29">
        <v>-80</v>
      </c>
      <c r="B189" s="30">
        <v>60</v>
      </c>
      <c r="C189" s="50">
        <v>1.36</v>
      </c>
      <c r="D189" s="50"/>
      <c r="E189" s="99"/>
      <c r="F189" s="99"/>
      <c r="G189" s="17"/>
      <c r="H189" s="17"/>
      <c r="I189" s="17"/>
    </row>
    <row r="190" spans="1:9" x14ac:dyDescent="0.25">
      <c r="A190" s="29">
        <v>-90</v>
      </c>
      <c r="B190" s="30">
        <v>70</v>
      </c>
      <c r="C190" s="50">
        <v>1.3260000000000001</v>
      </c>
      <c r="D190" s="50"/>
      <c r="E190" s="99"/>
      <c r="F190" s="99"/>
      <c r="G190" s="17"/>
      <c r="H190" s="17"/>
      <c r="I190" s="17"/>
    </row>
    <row r="191" spans="1:9" x14ac:dyDescent="0.25">
      <c r="A191" s="29">
        <v>-100</v>
      </c>
      <c r="B191" s="30">
        <v>80</v>
      </c>
      <c r="C191" s="50">
        <v>1.28</v>
      </c>
      <c r="D191" s="50"/>
      <c r="E191" s="99"/>
      <c r="F191" s="99"/>
      <c r="G191" s="17"/>
      <c r="H191" s="17"/>
      <c r="I191" s="17"/>
    </row>
    <row r="192" spans="1:9" x14ac:dyDescent="0.25">
      <c r="A192" s="29">
        <v>-110</v>
      </c>
      <c r="B192" s="30">
        <v>90</v>
      </c>
      <c r="C192" s="50">
        <v>1.32</v>
      </c>
      <c r="D192" s="50"/>
      <c r="E192" s="99"/>
      <c r="F192" s="99"/>
      <c r="G192" s="17"/>
      <c r="H192" s="17"/>
      <c r="I192" s="17"/>
    </row>
    <row r="193" spans="1:9" x14ac:dyDescent="0.25">
      <c r="A193" s="29">
        <v>-120</v>
      </c>
      <c r="B193" s="30">
        <v>100</v>
      </c>
      <c r="C193" s="50">
        <v>1.28</v>
      </c>
      <c r="D193" s="50"/>
      <c r="E193" s="99"/>
      <c r="F193" s="99"/>
      <c r="G193" s="17"/>
      <c r="H193" s="17"/>
      <c r="I193" s="17"/>
    </row>
    <row r="194" spans="1:9" x14ac:dyDescent="0.25">
      <c r="A194" s="29">
        <v>-130</v>
      </c>
      <c r="B194" s="30">
        <v>110</v>
      </c>
      <c r="C194" s="50">
        <v>1.32</v>
      </c>
      <c r="D194" s="50"/>
      <c r="E194" s="99"/>
      <c r="F194" s="99"/>
      <c r="G194" s="17"/>
      <c r="H194" s="17"/>
      <c r="I194" s="17"/>
    </row>
    <row r="196" spans="1:9" s="45" customFormat="1" x14ac:dyDescent="0.25">
      <c r="A196" s="52" t="s">
        <v>80</v>
      </c>
      <c r="B196" s="52"/>
      <c r="C196" s="41"/>
      <c r="D196" s="42"/>
      <c r="E196" s="43"/>
      <c r="F196" s="44"/>
      <c r="G196" s="9"/>
      <c r="H196" s="9"/>
    </row>
    <row r="197" spans="1:9" s="45" customFormat="1" x14ac:dyDescent="0.25">
      <c r="A197" s="52" t="s">
        <v>81</v>
      </c>
      <c r="B197" s="52"/>
      <c r="C197" s="42"/>
      <c r="D197" s="46" t="s">
        <v>82</v>
      </c>
      <c r="E197" s="53" t="s">
        <v>83</v>
      </c>
      <c r="F197" s="54"/>
      <c r="G197" s="43" t="s">
        <v>84</v>
      </c>
      <c r="H197" s="47"/>
    </row>
    <row r="198" spans="1:9" s="45" customFormat="1" x14ac:dyDescent="0.25">
      <c r="A198" s="52" t="s">
        <v>9</v>
      </c>
      <c r="B198" s="52"/>
      <c r="C198" s="55" t="s">
        <v>85</v>
      </c>
      <c r="D198" s="55"/>
      <c r="E198" s="9"/>
      <c r="F198" s="9"/>
      <c r="G198" s="9"/>
      <c r="H198" s="9"/>
    </row>
  </sheetData>
  <mergeCells count="367">
    <mergeCell ref="C189:D189"/>
    <mergeCell ref="C190:D190"/>
    <mergeCell ref="E184:F194"/>
    <mergeCell ref="C184:D184"/>
    <mergeCell ref="C185:D185"/>
    <mergeCell ref="C186:D186"/>
    <mergeCell ref="C187:D187"/>
    <mergeCell ref="C188:D188"/>
    <mergeCell ref="E129:F129"/>
    <mergeCell ref="E130:F130"/>
    <mergeCell ref="E131:F131"/>
    <mergeCell ref="E132:F132"/>
    <mergeCell ref="E133:F133"/>
    <mergeCell ref="E134:F134"/>
    <mergeCell ref="E135:F135"/>
    <mergeCell ref="C134:D134"/>
    <mergeCell ref="C135:D135"/>
    <mergeCell ref="C130:D130"/>
    <mergeCell ref="C131:D131"/>
    <mergeCell ref="C132:D132"/>
    <mergeCell ref="C133:D133"/>
    <mergeCell ref="E165:F165"/>
    <mergeCell ref="E166:F166"/>
    <mergeCell ref="E167:F167"/>
    <mergeCell ref="E58:F58"/>
    <mergeCell ref="C183:D183"/>
    <mergeCell ref="E183:F183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02:F102"/>
    <mergeCell ref="E103:F103"/>
    <mergeCell ref="E104:F104"/>
    <mergeCell ref="E105:F105"/>
    <mergeCell ref="E106:F106"/>
    <mergeCell ref="E107:F107"/>
    <mergeCell ref="E109:F109"/>
    <mergeCell ref="E110:F110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65:F65"/>
    <mergeCell ref="E66:F66"/>
    <mergeCell ref="E67:F67"/>
    <mergeCell ref="E87:F87"/>
    <mergeCell ref="E88:F88"/>
    <mergeCell ref="E89:F89"/>
    <mergeCell ref="E90:F90"/>
    <mergeCell ref="E91:F91"/>
    <mergeCell ref="E92:F92"/>
    <mergeCell ref="E86:F86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C77:D77"/>
    <mergeCell ref="E80:F80"/>
    <mergeCell ref="C125:D125"/>
    <mergeCell ref="C126:D126"/>
    <mergeCell ref="C127:D127"/>
    <mergeCell ref="C128:D128"/>
    <mergeCell ref="C129:D129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07:D107"/>
    <mergeCell ref="C108:D108"/>
    <mergeCell ref="C109:D109"/>
    <mergeCell ref="C110:D110"/>
    <mergeCell ref="C111:D111"/>
    <mergeCell ref="C112:D112"/>
    <mergeCell ref="E84:F84"/>
    <mergeCell ref="E85:F85"/>
    <mergeCell ref="E140:F140"/>
    <mergeCell ref="E149:F149"/>
    <mergeCell ref="B174:B180"/>
    <mergeCell ref="C174:C180"/>
    <mergeCell ref="D174:E174"/>
    <mergeCell ref="D173:E173"/>
    <mergeCell ref="F173:G173"/>
    <mergeCell ref="F174:G174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E159:F159"/>
    <mergeCell ref="E160:F160"/>
    <mergeCell ref="E161:F161"/>
    <mergeCell ref="E162:F162"/>
    <mergeCell ref="F180:G180"/>
    <mergeCell ref="E168:F168"/>
    <mergeCell ref="E169:F169"/>
    <mergeCell ref="E170:F170"/>
    <mergeCell ref="E171:F171"/>
    <mergeCell ref="A162:A166"/>
    <mergeCell ref="B162:B166"/>
    <mergeCell ref="A167:A171"/>
    <mergeCell ref="B167:B171"/>
    <mergeCell ref="E163:F163"/>
    <mergeCell ref="E164:F164"/>
    <mergeCell ref="G142:H143"/>
    <mergeCell ref="G144:H149"/>
    <mergeCell ref="G150:H155"/>
    <mergeCell ref="G156:H157"/>
    <mergeCell ref="G158:H161"/>
    <mergeCell ref="G162:H162"/>
    <mergeCell ref="G163:H166"/>
    <mergeCell ref="G167:H167"/>
    <mergeCell ref="G168:H171"/>
    <mergeCell ref="E146:F146"/>
    <mergeCell ref="A150:A155"/>
    <mergeCell ref="B150:B155"/>
    <mergeCell ref="A156:A161"/>
    <mergeCell ref="B156:B161"/>
    <mergeCell ref="A142:A143"/>
    <mergeCell ref="B142:B143"/>
    <mergeCell ref="B144:B149"/>
    <mergeCell ref="A144:A149"/>
    <mergeCell ref="E147:F147"/>
    <mergeCell ref="E148:F148"/>
    <mergeCell ref="E145:F145"/>
    <mergeCell ref="E144:F144"/>
    <mergeCell ref="E143:F143"/>
    <mergeCell ref="E142:F142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A125:A135"/>
    <mergeCell ref="G125:G128"/>
    <mergeCell ref="G129:G135"/>
    <mergeCell ref="A42:I43"/>
    <mergeCell ref="A137:I138"/>
    <mergeCell ref="B140:B141"/>
    <mergeCell ref="A140:A141"/>
    <mergeCell ref="G139:H139"/>
    <mergeCell ref="G140:H141"/>
    <mergeCell ref="E139:F139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A92:A102"/>
    <mergeCell ref="G92:G95"/>
    <mergeCell ref="G96:G102"/>
    <mergeCell ref="A103:A113"/>
    <mergeCell ref="E141:F141"/>
    <mergeCell ref="G103:G106"/>
    <mergeCell ref="G107:G113"/>
    <mergeCell ref="A114:A124"/>
    <mergeCell ref="G114:G117"/>
    <mergeCell ref="G118:G124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13:D113"/>
    <mergeCell ref="C114:D114"/>
    <mergeCell ref="C115:D115"/>
    <mergeCell ref="E108:F108"/>
    <mergeCell ref="A59:A69"/>
    <mergeCell ref="G59:G62"/>
    <mergeCell ref="G63:G69"/>
    <mergeCell ref="A52:B52"/>
    <mergeCell ref="A53:B53"/>
    <mergeCell ref="A54:B54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E59:F59"/>
    <mergeCell ref="E60:F60"/>
    <mergeCell ref="E61:F61"/>
    <mergeCell ref="E62:F62"/>
    <mergeCell ref="E63:F63"/>
    <mergeCell ref="E64:F64"/>
    <mergeCell ref="C50:D50"/>
    <mergeCell ref="C51:D51"/>
    <mergeCell ref="C52:D52"/>
    <mergeCell ref="C53:D53"/>
    <mergeCell ref="C54:D54"/>
    <mergeCell ref="E52:F52"/>
    <mergeCell ref="E53:F53"/>
    <mergeCell ref="E54:F54"/>
    <mergeCell ref="A56:I57"/>
    <mergeCell ref="A44:B44"/>
    <mergeCell ref="C44:D44"/>
    <mergeCell ref="E44:F44"/>
    <mergeCell ref="G44:H44"/>
    <mergeCell ref="A45:B45"/>
    <mergeCell ref="C45:D45"/>
    <mergeCell ref="E45:F45"/>
    <mergeCell ref="A46:B46"/>
    <mergeCell ref="G45:H54"/>
    <mergeCell ref="A47:B47"/>
    <mergeCell ref="A49:B49"/>
    <mergeCell ref="A50:B50"/>
    <mergeCell ref="A51:B51"/>
    <mergeCell ref="E46:F46"/>
    <mergeCell ref="E47:F47"/>
    <mergeCell ref="E48:F48"/>
    <mergeCell ref="E49:F49"/>
    <mergeCell ref="E50:F50"/>
    <mergeCell ref="E51:F51"/>
    <mergeCell ref="A48:B48"/>
    <mergeCell ref="C46:D46"/>
    <mergeCell ref="C47:D47"/>
    <mergeCell ref="C48:D48"/>
    <mergeCell ref="C49:D49"/>
    <mergeCell ref="A30:D30"/>
    <mergeCell ref="A31:D31"/>
    <mergeCell ref="E28:F28"/>
    <mergeCell ref="E29:F29"/>
    <mergeCell ref="E30:F30"/>
    <mergeCell ref="E31:F31"/>
    <mergeCell ref="C40:D40"/>
    <mergeCell ref="E40:F40"/>
    <mergeCell ref="A37:I37"/>
    <mergeCell ref="G40:H40"/>
    <mergeCell ref="A1:I1"/>
    <mergeCell ref="A2:I2"/>
    <mergeCell ref="A3:I3"/>
    <mergeCell ref="A4:I4"/>
    <mergeCell ref="A5:I5"/>
    <mergeCell ref="A9:C9"/>
    <mergeCell ref="A10:C10"/>
    <mergeCell ref="A7:I7"/>
    <mergeCell ref="E22:F22"/>
    <mergeCell ref="G22:H22"/>
    <mergeCell ref="A17:C17"/>
    <mergeCell ref="D17:H17"/>
    <mergeCell ref="A16:C16"/>
    <mergeCell ref="D16:H16"/>
    <mergeCell ref="A19:D19"/>
    <mergeCell ref="A11:C11"/>
    <mergeCell ref="D11:H11"/>
    <mergeCell ref="A12:C12"/>
    <mergeCell ref="D12:H12"/>
    <mergeCell ref="A13:C13"/>
    <mergeCell ref="G20:H21"/>
    <mergeCell ref="E20:F21"/>
    <mergeCell ref="A20:D21"/>
    <mergeCell ref="A39:B39"/>
    <mergeCell ref="C39:D39"/>
    <mergeCell ref="E39:F39"/>
    <mergeCell ref="G39:H39"/>
    <mergeCell ref="A40:B40"/>
    <mergeCell ref="A14:C14"/>
    <mergeCell ref="D14:H14"/>
    <mergeCell ref="A15:C15"/>
    <mergeCell ref="D15:H15"/>
    <mergeCell ref="A23:D23"/>
    <mergeCell ref="E23:F23"/>
    <mergeCell ref="G23:H23"/>
    <mergeCell ref="A24:D24"/>
    <mergeCell ref="E24:F24"/>
    <mergeCell ref="G24:H24"/>
    <mergeCell ref="A27:D27"/>
    <mergeCell ref="E27:F27"/>
    <mergeCell ref="G27:I27"/>
    <mergeCell ref="G28:I28"/>
    <mergeCell ref="G29:I29"/>
    <mergeCell ref="G30:I30"/>
    <mergeCell ref="G31:I31"/>
    <mergeCell ref="A28:D28"/>
    <mergeCell ref="A29:D29"/>
    <mergeCell ref="A196:B196"/>
    <mergeCell ref="A197:B197"/>
    <mergeCell ref="E197:F197"/>
    <mergeCell ref="A198:B198"/>
    <mergeCell ref="C198:D198"/>
    <mergeCell ref="C191:D191"/>
    <mergeCell ref="C192:D192"/>
    <mergeCell ref="C193:D193"/>
    <mergeCell ref="C194:D194"/>
    <mergeCell ref="A70:A80"/>
    <mergeCell ref="G70:G73"/>
    <mergeCell ref="G74:G80"/>
    <mergeCell ref="A81:A91"/>
    <mergeCell ref="G81:G84"/>
    <mergeCell ref="G85:G91"/>
    <mergeCell ref="C87:D87"/>
    <mergeCell ref="C88:D88"/>
    <mergeCell ref="C89:D89"/>
    <mergeCell ref="C90:D90"/>
    <mergeCell ref="C91:D91"/>
    <mergeCell ref="E81:F81"/>
    <mergeCell ref="E82:F82"/>
    <mergeCell ref="E83:F83"/>
    <mergeCell ref="C70:D70"/>
    <mergeCell ref="C71:D71"/>
    <mergeCell ref="C72:D72"/>
    <mergeCell ref="C73:D73"/>
    <mergeCell ref="C74:D74"/>
    <mergeCell ref="E77:F77"/>
    <mergeCell ref="E78:F78"/>
    <mergeCell ref="E79:F79"/>
    <mergeCell ref="C75:D75"/>
    <mergeCell ref="C76:D76"/>
  </mergeCells>
  <pageMargins left="0.70866141732283472" right="0.70866141732283472" top="0.74803149606299213" bottom="0.74803149606299213" header="0.31496062992125984" footer="0.31496062992125984"/>
  <pageSetup paperSize="9" orientation="portrait" verticalDpi="300" r:id="rId1"/>
  <headerFooter>
    <oddFooter>&amp;C&amp;P страница из &amp;N страниц</oddFooter>
  </headerFooter>
  <rowBreaks count="3" manualBreakCount="3">
    <brk id="41" max="16383" man="1"/>
    <brk id="136" max="16383" man="1"/>
    <brk id="1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2026-04-24T12:28:19Z</dcterms:modified>
</cp:coreProperties>
</file>