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E27" i="3" l="1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37" i="3"/>
  <c r="L36" i="3"/>
  <c r="L35" i="3"/>
  <c r="L34" i="3"/>
</calcChain>
</file>

<file path=xl/sharedStrings.xml><?xml version="1.0" encoding="utf-8"?>
<sst xmlns="http://schemas.openxmlformats.org/spreadsheetml/2006/main" count="994" uniqueCount="605">
  <si>
    <t>Установленый коэффицент отклонения, мВ/дел</t>
  </si>
  <si>
    <t>500 (50 Ом)</t>
  </si>
  <si>
    <t>100 (50 Ом)</t>
  </si>
  <si>
    <t>10 (50 Ом)</t>
  </si>
  <si>
    <t>100 (1 МОм)</t>
  </si>
  <si>
    <t>10 (1 МОм)</t>
  </si>
  <si>
    <t xml:space="preserve"> </t>
  </si>
  <si>
    <t>Параметр</t>
  </si>
  <si>
    <t>Действительные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</si>
  <si>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</si>
  <si>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</si>
  <si>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</si>
  <si>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t>№ канала</t>
  </si>
  <si>
    <t>Допустимая погрешность, %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</si>
  <si>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</t>
    </r>
  </si>
  <si>
    <t>Условия проведения поверки:</t>
  </si>
  <si>
    <r>
      <t xml:space="preserve">1 Внешний осмотр (п. 8.1):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</si>
  <si>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 8.2):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</si>
  <si>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Относительная погрешность коэффициента отклонения, % </t>
    </r>
    <r>
      <rPr>
        <sz val="10"/>
        <rFont val="Symbol"/>
        <family val="1"/>
        <charset val="2"/>
      </rPr>
      <t>d</t>
    </r>
    <r>
      <rPr>
        <sz val="10"/>
        <rFont val="Times New Roman"/>
        <family val="1"/>
        <charset val="204"/>
      </rPr>
      <t>K</t>
    </r>
    <r>
      <rPr>
        <i/>
        <sz val="10"/>
        <rFont val="Times New Roman"/>
        <family val="1"/>
        <charset val="204"/>
      </rPr>
      <t>откл</t>
    </r>
  </si>
  <si>
    <r>
      <t xml:space="preserve">Заказчик </t>
    </r>
    <r>
      <rPr>
        <b/>
        <i/>
        <u/>
        <sz val="10"/>
        <rFont val="Times New Roman"/>
        <family val="1"/>
        <charset val="204"/>
      </rPr>
      <t>отд. 310</t>
    </r>
  </si>
  <si>
    <t>Допустимые значения</t>
  </si>
  <si>
    <r>
      <t xml:space="preserve">23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</si>
  <si>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r>
      <t xml:space="preserve">65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</si>
  <si>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t xml:space="preserve">100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</si>
  <si>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r>
      <t xml:space="preserve">220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4,4</t>
    </r>
  </si>
  <si>
    <r>
      <t xml:space="preserve">50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05</t>
    </r>
  </si>
  <si>
    <t>Напряжение питания сети пеменного тока, В</t>
  </si>
  <si>
    <t>Частота сети переменного тока, Гц</t>
  </si>
  <si>
    <t>3 Определение погрешности по частоте внутреннего опорного генератора (п. 8.3)</t>
  </si>
  <si>
    <t>Fном, МГц</t>
  </si>
  <si>
    <t>Fизм, МГц</t>
  </si>
  <si>
    <r>
      <rPr>
        <sz val="10"/>
        <rFont val="Calibri"/>
        <family val="2"/>
        <charset val="204"/>
      </rPr>
      <t>δ</t>
    </r>
    <r>
      <rPr>
        <sz val="10"/>
        <rFont val="Times New Roman"/>
        <family val="1"/>
        <charset val="204"/>
      </rPr>
      <t>F</t>
    </r>
  </si>
  <si>
    <t>Допуск</t>
  </si>
  <si>
    <r>
      <t>2,5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-5</t>
    </r>
  </si>
  <si>
    <t xml:space="preserve">4 Определение диапазона и погрешности установки коэффициентов отклонения (п. 8.4) </t>
  </si>
  <si>
    <t>1 (1 МОм)</t>
  </si>
  <si>
    <t>3 (1 МОм)</t>
  </si>
  <si>
    <t>3,2 (1 МОм)</t>
  </si>
  <si>
    <t>11 (1 МОм)</t>
  </si>
  <si>
    <t>32 (1 МОм)</t>
  </si>
  <si>
    <t>70 (1 МОм)</t>
  </si>
  <si>
    <t>110 (1 МОм)</t>
  </si>
  <si>
    <t>300 (1 МОм)</t>
  </si>
  <si>
    <t>320 (1 МОм)</t>
  </si>
  <si>
    <t>1 В/дел (1 МОм)</t>
  </si>
  <si>
    <t>1,1 В/дел (1 МОм)</t>
  </si>
  <si>
    <t>3 В/дел (1 МОм)</t>
  </si>
  <si>
    <t>3,2 В/дел (1 МОм)</t>
  </si>
  <si>
    <t>10 В/дел (1 МОм)</t>
  </si>
  <si>
    <t>1 (50 Ом)</t>
  </si>
  <si>
    <t>3 (50 Ом)</t>
  </si>
  <si>
    <t>3,2 (50 Ом)</t>
  </si>
  <si>
    <t>11 (50 Ом)</t>
  </si>
  <si>
    <t>32 (50 Ом)</t>
  </si>
  <si>
    <t>70 (50 Ом)</t>
  </si>
  <si>
    <t>110 (50 Ом)</t>
  </si>
  <si>
    <t>175 (50 Ом)</t>
  </si>
  <si>
    <t>180 (50 Ом)</t>
  </si>
  <si>
    <t>300 (50 Ом)</t>
  </si>
  <si>
    <t>320 (50 Ом)</t>
  </si>
  <si>
    <t>560 (50 Ом)</t>
  </si>
  <si>
    <t>570 (50 Ом)</t>
  </si>
  <si>
    <t>1 В/дел (50 Ом)</t>
  </si>
  <si>
    <t>Напряжение на выходе калибратора,"+", мВ</t>
  </si>
  <si>
    <t>Напряжение на выходе калибратора,"-", мВ</t>
  </si>
  <si>
    <t>Показания осциллографа,"+", мВ</t>
  </si>
  <si>
    <t>Показания осциллографа,"-", мВ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</si>
  <si>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1,5</t>
    </r>
  </si>
  <si>
    <t>5 Определение  диапазона и погрешности установки постоянного смещения (п. 8.5)</t>
  </si>
  <si>
    <t>Напряжение на выходе калибратора и установленное постоянное смещение, В</t>
  </si>
  <si>
    <t>Показания осциллографа, В</t>
  </si>
  <si>
    <t>Погрешность установки постоянного смещения, мВ</t>
  </si>
  <si>
    <t>Пределы погрешности, мВ</t>
  </si>
  <si>
    <t>1 В/дел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</si>
  <si>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2,8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</si>
  <si>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6,3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</si>
  <si>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</si>
  <si>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7,0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</si>
  <si>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</si>
  <si>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7,25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</si>
  <si>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12,5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</si>
  <si>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14,25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</si>
  <si>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32,5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</si>
  <si>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50,0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</si>
  <si>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102,5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</si>
  <si>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120,0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</si>
  <si>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302,5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</si>
  <si>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442,5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</si>
  <si>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1002,5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</si>
  <si>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1142,5</t>
    </r>
  </si>
  <si>
    <t>30 (1 МОм)</t>
  </si>
  <si>
    <t>30 50 Ом)</t>
  </si>
  <si>
    <t>150 (50 Ом)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</si>
  <si>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9,0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</si>
  <si>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16,0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</si>
  <si>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17,5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</si>
  <si>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28,0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</si>
  <si>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43,0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</si>
  <si>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52,5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</si>
  <si>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70,0</t>
    </r>
  </si>
  <si>
    <t>6 Определение полосы пропускания (п. 8.6) (формирователь 25 пс)</t>
  </si>
  <si>
    <t>Коэффициент развертки</t>
  </si>
  <si>
    <t>Коэффициент отклонения</t>
  </si>
  <si>
    <r>
      <rPr>
        <sz val="10"/>
        <rFont val="Symbol"/>
        <family val="1"/>
        <charset val="2"/>
      </rPr>
      <t>t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>, пс</t>
    </r>
  </si>
  <si>
    <t>Канал 1</t>
  </si>
  <si>
    <t>Канал 2</t>
  </si>
  <si>
    <t>Канал 3</t>
  </si>
  <si>
    <t>Канал 4</t>
  </si>
  <si>
    <t>25 пс/дел</t>
  </si>
  <si>
    <t>50 мВ/дел</t>
  </si>
  <si>
    <t>7 Определение минимального уровня синхронизации (п. 8.7)</t>
  </si>
  <si>
    <t>7.1 от входов каналов осциллографа (п. 8.7.1)</t>
  </si>
  <si>
    <t>Начальная амплитуда сигнала на выходе калибратора, мВ</t>
  </si>
  <si>
    <t>Аттенюатор</t>
  </si>
  <si>
    <t>Уровень синхронизации, при котором обеспечивается запуск, дел.</t>
  </si>
  <si>
    <t>Допускаемый минимальный уровень синхронизации, дел.</t>
  </si>
  <si>
    <t>нет</t>
  </si>
  <si>
    <t>20 дБ</t>
  </si>
  <si>
    <t>40 дБ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</si>
  <si>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276568182; Ч3-85/3R № 903120450; 8493С № 87825; 8493С № 87733</t>
    </r>
  </si>
  <si>
    <r>
      <t xml:space="preserve">7.2 от входа внешнего запуска (п.8.7.9) </t>
    </r>
    <r>
      <rPr>
        <b/>
        <i/>
        <u/>
        <sz val="10"/>
        <rFont val="Times New Roman"/>
        <family val="1"/>
        <charset val="204"/>
      </rPr>
      <t>соответствует</t>
    </r>
    <r>
      <rPr>
        <sz val="10"/>
        <rFont val="Times New Roman"/>
        <family val="1"/>
        <charset val="204"/>
      </rPr>
      <t xml:space="preserve"> (не более 300 мВ)</t>
    </r>
  </si>
  <si>
    <r>
      <t xml:space="preserve">Методика поверки: </t>
    </r>
    <r>
      <rPr>
        <b/>
        <i/>
        <u/>
        <sz val="10"/>
        <rFont val="Times New Roman"/>
        <family val="1"/>
        <charset val="204"/>
      </rPr>
      <t xml:space="preserve">Инструкция. Осциллографы цифровые запоминающие RTO1012, RTO1014, RTO1022, RTO1024 фирмы "Rohde </t>
    </r>
    <r>
      <rPr>
        <b/>
        <u/>
        <sz val="10"/>
        <rFont val="Times New Roman"/>
        <family val="1"/>
        <charset val="204"/>
      </rPr>
      <t>&amp;</t>
    </r>
    <r>
      <rPr>
        <b/>
        <i/>
        <u/>
        <sz val="10"/>
        <rFont val="Times New Roman"/>
        <family val="1"/>
        <charset val="204"/>
      </rPr>
      <t xml:space="preserve"> Schwarz GmbH </t>
    </r>
    <r>
      <rPr>
        <b/>
        <u/>
        <sz val="10"/>
        <rFont val="Times New Roman"/>
        <family val="1"/>
        <charset val="204"/>
      </rPr>
      <t>&amp;</t>
    </r>
    <r>
      <rPr>
        <b/>
        <i/>
        <u/>
        <sz val="10"/>
        <rFont val="Times New Roman"/>
        <family val="1"/>
        <charset val="204"/>
      </rPr>
      <t xml:space="preserve"> Co. KG", Германия. Методика поверки. </t>
    </r>
  </si>
  <si>
    <t>dcv1+_1_1</t>
  </si>
  <si>
    <t>dcv1-_1_1</t>
  </si>
  <si>
    <t>dcv1+_1_2</t>
  </si>
  <si>
    <t>dcv1-_1_2</t>
  </si>
  <si>
    <t>dcv1+_1_3</t>
  </si>
  <si>
    <t>dcv1-_1_3</t>
  </si>
  <si>
    <t>dcv1+_1_4</t>
  </si>
  <si>
    <t>dcv1-_1_4</t>
  </si>
  <si>
    <t>dcv1+_1_5</t>
  </si>
  <si>
    <t>dcv1-_1_5</t>
  </si>
  <si>
    <t>dcv1+_1_6</t>
  </si>
  <si>
    <t>dcv1-_1_6</t>
  </si>
  <si>
    <t>dcv1+_1_7</t>
  </si>
  <si>
    <t>dcv1-_1_7</t>
  </si>
  <si>
    <t>dcv1+_1_8</t>
  </si>
  <si>
    <t>dcv1-_1_8</t>
  </si>
  <si>
    <t>dcv1+_1_9</t>
  </si>
  <si>
    <t>dcv1-_1_9</t>
  </si>
  <si>
    <t>dcv1+_1_10</t>
  </si>
  <si>
    <t>dcv1-_1_10</t>
  </si>
  <si>
    <t>dcv1+_1_11</t>
  </si>
  <si>
    <t>dcv1-_1_11</t>
  </si>
  <si>
    <t>dcv1+_1_12</t>
  </si>
  <si>
    <t>dcv1-_1_12</t>
  </si>
  <si>
    <t>dcv1+_1_13</t>
  </si>
  <si>
    <t>dcv1-_1_13</t>
  </si>
  <si>
    <t>dcv1+_1_14</t>
  </si>
  <si>
    <t>dcv1-_1_14</t>
  </si>
  <si>
    <t>dcv1+_1_15</t>
  </si>
  <si>
    <t>dcv1-_1_15</t>
  </si>
  <si>
    <t>dcv1+_1_16</t>
  </si>
  <si>
    <t>dcv1-_1_16</t>
  </si>
  <si>
    <t>dcv1+_1_17</t>
  </si>
  <si>
    <t>dcv1-_1_17</t>
  </si>
  <si>
    <t>dcv1+_50_1</t>
  </si>
  <si>
    <t>dcv1-_50_1</t>
  </si>
  <si>
    <t>dcv1+_50_2</t>
  </si>
  <si>
    <t>dcv1-_50_2</t>
  </si>
  <si>
    <t>dcv1+_50_3</t>
  </si>
  <si>
    <t>dcv1-_50_3</t>
  </si>
  <si>
    <t>dcv1+_50_4</t>
  </si>
  <si>
    <t>dcv1-_50_4</t>
  </si>
  <si>
    <t>dcv1+_50_5</t>
  </si>
  <si>
    <t>dcv1-_50_5</t>
  </si>
  <si>
    <t>dcv1+_50_6</t>
  </si>
  <si>
    <t>dcv1-_50_6</t>
  </si>
  <si>
    <t>dcv1+_50_7</t>
  </si>
  <si>
    <t>dcv1-_50_7</t>
  </si>
  <si>
    <t>dcv1+_50_8</t>
  </si>
  <si>
    <t>dcv1-_50_8</t>
  </si>
  <si>
    <t>dcv1+_50_9</t>
  </si>
  <si>
    <t>dcv1-_50_9</t>
  </si>
  <si>
    <t>dcv1+_50_10</t>
  </si>
  <si>
    <t>dcv1-_50_10</t>
  </si>
  <si>
    <t>dcv1+_50_11</t>
  </si>
  <si>
    <t>dcv1-_50_11</t>
  </si>
  <si>
    <t>dcv1+_50_12</t>
  </si>
  <si>
    <t>dcv1-_50_12</t>
  </si>
  <si>
    <t>dcv1+_50_13</t>
  </si>
  <si>
    <t>dcv1-_50_13</t>
  </si>
  <si>
    <t>dcv1+_50_14</t>
  </si>
  <si>
    <t>dcv1-_50_14</t>
  </si>
  <si>
    <t>dcv1+_50_15</t>
  </si>
  <si>
    <t>dcv1-_50_15</t>
  </si>
  <si>
    <t>dcv1+_50_16</t>
  </si>
  <si>
    <t>dcv1-_50_16</t>
  </si>
  <si>
    <t>dcv1+_50_17</t>
  </si>
  <si>
    <t>dcv1-_50_17</t>
  </si>
  <si>
    <t>dcv2+_1_1</t>
  </si>
  <si>
    <t>dcv2-_1_1</t>
  </si>
  <si>
    <t>dcv2+_1_2</t>
  </si>
  <si>
    <t>dcv2-_1_2</t>
  </si>
  <si>
    <t>dcv2+_1_3</t>
  </si>
  <si>
    <t>dcv2-_1_3</t>
  </si>
  <si>
    <t>dcv2+_1_4</t>
  </si>
  <si>
    <t>dcv2-_1_4</t>
  </si>
  <si>
    <t>dcv2+_1_5</t>
  </si>
  <si>
    <t>dcv2-_1_5</t>
  </si>
  <si>
    <t>dcv2+_1_6</t>
  </si>
  <si>
    <t>dcv2-_1_6</t>
  </si>
  <si>
    <t>dcv2+_1_7</t>
  </si>
  <si>
    <t>dcv2-_1_7</t>
  </si>
  <si>
    <t>dcv2+_1_8</t>
  </si>
  <si>
    <t>dcv2-_1_8</t>
  </si>
  <si>
    <t>dcv2+_1_9</t>
  </si>
  <si>
    <t>dcv2-_1_9</t>
  </si>
  <si>
    <t>dcv2+_1_10</t>
  </si>
  <si>
    <t>dcv2-_1_10</t>
  </si>
  <si>
    <t>dcv2+_1_11</t>
  </si>
  <si>
    <t>dcv2-_1_11</t>
  </si>
  <si>
    <t>dcv2+_1_12</t>
  </si>
  <si>
    <t>dcv2-_1_12</t>
  </si>
  <si>
    <t>dcv2+_1_13</t>
  </si>
  <si>
    <t>dcv2-_1_13</t>
  </si>
  <si>
    <t>dcv2+_1_14</t>
  </si>
  <si>
    <t>dcv2-_1_14</t>
  </si>
  <si>
    <t>dcv2+_1_15</t>
  </si>
  <si>
    <t>dcv2-_1_15</t>
  </si>
  <si>
    <t>dcv2+_1_16</t>
  </si>
  <si>
    <t>dcv2-_1_16</t>
  </si>
  <si>
    <t>dcv2+_1_17</t>
  </si>
  <si>
    <t>dcv2-_1_17</t>
  </si>
  <si>
    <t>dcv2+_50_1</t>
  </si>
  <si>
    <t>dcv2-_50_1</t>
  </si>
  <si>
    <t>dcv2+_50_2</t>
  </si>
  <si>
    <t>dcv2-_50_2</t>
  </si>
  <si>
    <t>dcv2+_50_3</t>
  </si>
  <si>
    <t>dcv2-_50_3</t>
  </si>
  <si>
    <t>dcv2+_50_4</t>
  </si>
  <si>
    <t>dcv2-_50_4</t>
  </si>
  <si>
    <t>dcv2+_50_5</t>
  </si>
  <si>
    <t>dcv2-_50_5</t>
  </si>
  <si>
    <t>dcv2+_50_6</t>
  </si>
  <si>
    <t>dcv2-_50_6</t>
  </si>
  <si>
    <t>dcv2+_50_7</t>
  </si>
  <si>
    <t>dcv2-_50_7</t>
  </si>
  <si>
    <t>dcv2+_50_8</t>
  </si>
  <si>
    <t>dcv2-_50_8</t>
  </si>
  <si>
    <t>dcv2+_50_9</t>
  </si>
  <si>
    <t>dcv2-_50_9</t>
  </si>
  <si>
    <t>dcv2+_50_10</t>
  </si>
  <si>
    <t>dcv2-_50_10</t>
  </si>
  <si>
    <t>dcv2+_50_11</t>
  </si>
  <si>
    <t>dcv2-_50_11</t>
  </si>
  <si>
    <t>dcv2+_50_12</t>
  </si>
  <si>
    <t>dcv2-_50_12</t>
  </si>
  <si>
    <t>dcv2+_50_13</t>
  </si>
  <si>
    <t>dcv2-_50_13</t>
  </si>
  <si>
    <t>dcv2+_50_14</t>
  </si>
  <si>
    <t>dcv2-_50_14</t>
  </si>
  <si>
    <t>dcv2+_50_15</t>
  </si>
  <si>
    <t>dcv2-_50_15</t>
  </si>
  <si>
    <t>dcv2+_50_16</t>
  </si>
  <si>
    <t>dcv2-_50_16</t>
  </si>
  <si>
    <t>dcv2+_50_17</t>
  </si>
  <si>
    <t>dcv2-_50_17</t>
  </si>
  <si>
    <t>dcv3+_1_1</t>
  </si>
  <si>
    <t>dcv3-_1_1</t>
  </si>
  <si>
    <t>dcv3+_1_2</t>
  </si>
  <si>
    <t>dcv3-_1_2</t>
  </si>
  <si>
    <t>dcv3+_1_3</t>
  </si>
  <si>
    <t>dcv3-_1_3</t>
  </si>
  <si>
    <t>dcv3+_1_4</t>
  </si>
  <si>
    <t>dcv3-_1_4</t>
  </si>
  <si>
    <t>dcv3+_1_5</t>
  </si>
  <si>
    <t>dcv3-_1_5</t>
  </si>
  <si>
    <t>dcv3+_1_6</t>
  </si>
  <si>
    <t>dcv3-_1_6</t>
  </si>
  <si>
    <t>dcv3+_1_7</t>
  </si>
  <si>
    <t>dcv3-_1_7</t>
  </si>
  <si>
    <t>dcv3+_1_8</t>
  </si>
  <si>
    <t>dcv3-_1_8</t>
  </si>
  <si>
    <t>dcv3+_1_9</t>
  </si>
  <si>
    <t>dcv3-_1_9</t>
  </si>
  <si>
    <t>dcv3+_1_10</t>
  </si>
  <si>
    <t>dcv3-_1_10</t>
  </si>
  <si>
    <t>dcv3+_1_11</t>
  </si>
  <si>
    <t>dcv3-_1_11</t>
  </si>
  <si>
    <t>dcv3+_1_12</t>
  </si>
  <si>
    <t>dcv3-_1_12</t>
  </si>
  <si>
    <t>dcv3+_1_13</t>
  </si>
  <si>
    <t>dcv3-_1_13</t>
  </si>
  <si>
    <t>dcv3+_1_14</t>
  </si>
  <si>
    <t>dcv3-_1_14</t>
  </si>
  <si>
    <t>dcv3+_1_15</t>
  </si>
  <si>
    <t>dcv3-_1_15</t>
  </si>
  <si>
    <t>dcv3+_1_16</t>
  </si>
  <si>
    <t>dcv3-_1_16</t>
  </si>
  <si>
    <t>dcv3+_1_17</t>
  </si>
  <si>
    <t>dcv3-_1_17</t>
  </si>
  <si>
    <t>dcv3+_50_1</t>
  </si>
  <si>
    <t>dcv3-_50_1</t>
  </si>
  <si>
    <t>dcv3+_50_2</t>
  </si>
  <si>
    <t>dcv3-_50_2</t>
  </si>
  <si>
    <t>dcv3+_50_3</t>
  </si>
  <si>
    <t>dcv3-_50_3</t>
  </si>
  <si>
    <t>dcv3+_50_4</t>
  </si>
  <si>
    <t>dcv3-_50_4</t>
  </si>
  <si>
    <t>dcv3+_50_5</t>
  </si>
  <si>
    <t>dcv3-_50_5</t>
  </si>
  <si>
    <t>dcv3+_50_6</t>
  </si>
  <si>
    <t>dcv3-_50_6</t>
  </si>
  <si>
    <t>dcv3+_50_7</t>
  </si>
  <si>
    <t>dcv3-_50_7</t>
  </si>
  <si>
    <t>dcv3+_50_8</t>
  </si>
  <si>
    <t>dcv3-_50_8</t>
  </si>
  <si>
    <t>dcv3+_50_9</t>
  </si>
  <si>
    <t>dcv3-_50_9</t>
  </si>
  <si>
    <t>dcv3+_50_10</t>
  </si>
  <si>
    <t>dcv3-_50_10</t>
  </si>
  <si>
    <t>dcv3+_50_11</t>
  </si>
  <si>
    <t>dcv3-_50_11</t>
  </si>
  <si>
    <t>dcv3+_50_12</t>
  </si>
  <si>
    <t>dcv3-_50_12</t>
  </si>
  <si>
    <t>dcv3+_50_13</t>
  </si>
  <si>
    <t>dcv3-_50_13</t>
  </si>
  <si>
    <t>dcv3+_50_14</t>
  </si>
  <si>
    <t>dcv3-_50_14</t>
  </si>
  <si>
    <t>dcv3+_50_15</t>
  </si>
  <si>
    <t>dcv3-_50_15</t>
  </si>
  <si>
    <t>dcv3+_50_16</t>
  </si>
  <si>
    <t>dcv3-_50_16</t>
  </si>
  <si>
    <t>dcv3+_50_17</t>
  </si>
  <si>
    <t>dcv3-_50_17</t>
  </si>
  <si>
    <t>dcv4+_1_1</t>
  </si>
  <si>
    <t>dcv4-_1_1</t>
  </si>
  <si>
    <t>dcv4+_1_2</t>
  </si>
  <si>
    <t>dcv4-_1_2</t>
  </si>
  <si>
    <t>dcv4+_1_3</t>
  </si>
  <si>
    <t>dcv4-_1_3</t>
  </si>
  <si>
    <t>dcv4+_1_4</t>
  </si>
  <si>
    <t>dcv4-_1_4</t>
  </si>
  <si>
    <t>dcv4+_1_5</t>
  </si>
  <si>
    <t>dcv4-_1_5</t>
  </si>
  <si>
    <t>dcv4+_1_6</t>
  </si>
  <si>
    <t>dcv4-_1_6</t>
  </si>
  <si>
    <t>dcv4+_1_7</t>
  </si>
  <si>
    <t>dcv4-_1_7</t>
  </si>
  <si>
    <t>dcv4+_1_8</t>
  </si>
  <si>
    <t>dcv4-_1_8</t>
  </si>
  <si>
    <t>dcv4+_1_9</t>
  </si>
  <si>
    <t>dcv4-_1_9</t>
  </si>
  <si>
    <t>dcv4+_1_10</t>
  </si>
  <si>
    <t>dcv4-_1_10</t>
  </si>
  <si>
    <t>dcv4+_1_11</t>
  </si>
  <si>
    <t>dcv4-_1_11</t>
  </si>
  <si>
    <t>dcv4+_1_12</t>
  </si>
  <si>
    <t>dcv4-_1_12</t>
  </si>
  <si>
    <t>dcv4+_1_13</t>
  </si>
  <si>
    <t>dcv4-_1_13</t>
  </si>
  <si>
    <t>dcv4+_1_14</t>
  </si>
  <si>
    <t>dcv4-_1_14</t>
  </si>
  <si>
    <t>dcv4+_1_15</t>
  </si>
  <si>
    <t>dcv4-_1_15</t>
  </si>
  <si>
    <t>dcv4+_1_16</t>
  </si>
  <si>
    <t>dcv4-_1_16</t>
  </si>
  <si>
    <t>dcv4+_1_17</t>
  </si>
  <si>
    <t>dcv4-_1_17</t>
  </si>
  <si>
    <t>dcv4+_50_1</t>
  </si>
  <si>
    <t>dcv4-_50_1</t>
  </si>
  <si>
    <t>dcv4+_50_2</t>
  </si>
  <si>
    <t>dcv4-_50_2</t>
  </si>
  <si>
    <t>dcv4+_50_3</t>
  </si>
  <si>
    <t>dcv4-_50_3</t>
  </si>
  <si>
    <t>dcv4+_50_4</t>
  </si>
  <si>
    <t>dcv4-_50_4</t>
  </si>
  <si>
    <t>dcv4+_50_5</t>
  </si>
  <si>
    <t>dcv4-_50_5</t>
  </si>
  <si>
    <t>dcv4+_50_6</t>
  </si>
  <si>
    <t>dcv4-_50_6</t>
  </si>
  <si>
    <t>dcv4+_50_7</t>
  </si>
  <si>
    <t>dcv4-_50_7</t>
  </si>
  <si>
    <t>dcv4+_50_8</t>
  </si>
  <si>
    <t>dcv4-_50_8</t>
  </si>
  <si>
    <t>dcv4+_50_9</t>
  </si>
  <si>
    <t>dcv4-_50_9</t>
  </si>
  <si>
    <t>dcv4+_50_10</t>
  </si>
  <si>
    <t>dcv4-_50_10</t>
  </si>
  <si>
    <t>dcv4+_50_11</t>
  </si>
  <si>
    <t>dcv4-_50_11</t>
  </si>
  <si>
    <t>dcv4+_50_12</t>
  </si>
  <si>
    <t>dcv4-_50_12</t>
  </si>
  <si>
    <t>dcv4+_50_13</t>
  </si>
  <si>
    <t>dcv4-_50_13</t>
  </si>
  <si>
    <t>dcv4+_50_14</t>
  </si>
  <si>
    <t>dcv4-_50_14</t>
  </si>
  <si>
    <t>dcv4+_50_15</t>
  </si>
  <si>
    <t>dcv4-_50_15</t>
  </si>
  <si>
    <t>dcv4+_50_16</t>
  </si>
  <si>
    <t>dcv4-_50_16</t>
  </si>
  <si>
    <t>dcv4+_50_17</t>
  </si>
  <si>
    <t>dcv4-_50_17</t>
  </si>
  <si>
    <t>Поверку провёл:</t>
  </si>
  <si>
    <t>(</t>
  </si>
  <si>
    <t>_pov</t>
  </si>
  <si>
    <t>)</t>
  </si>
  <si>
    <t>Начальник лаборатории:</t>
  </si>
  <si>
    <t>Крючкова М.О.</t>
  </si>
  <si>
    <t>Дата проведения поверки:</t>
  </si>
  <si>
    <t>_date</t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</si>
  <si>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признан пригодным к применению</t>
    </r>
  </si>
  <si>
    <r>
      <t xml:space="preserve">Протокол поверки № </t>
    </r>
    <r>
      <rPr>
        <b/>
        <i/>
        <u/>
        <sz val="10"/>
        <rFont val="Times New Roman"/>
        <family val="1"/>
        <charset val="204"/>
      </rPr>
      <t>10/23-01-2024/200404</t>
    </r>
    <r>
      <rPr>
        <sz val="10"/>
        <rFont val="Times New Roman"/>
        <family val="1"/>
        <charset val="204"/>
      </rPr>
      <t xml:space="preserve"> осциллографа цифрового </t>
    </r>
    <r>
      <rPr>
        <b/>
        <sz val="10"/>
        <rFont val="Times New Roman"/>
        <family val="1"/>
        <charset val="204"/>
      </rPr>
      <t>RTO1024</t>
    </r>
    <r>
      <rPr>
        <sz val="10"/>
        <rFont val="Times New Roman"/>
        <family val="1"/>
        <charset val="204"/>
      </rPr>
      <t xml:space="preserve"> зав. № </t>
    </r>
    <r>
      <rPr>
        <b/>
        <i/>
        <u/>
        <sz val="10"/>
        <rFont val="Times New Roman"/>
        <family val="1"/>
        <charset val="204"/>
      </rPr>
      <t>200404</t>
    </r>
    <r>
      <rPr>
        <sz val="10"/>
        <rFont val="Times New Roman"/>
        <family val="1"/>
        <charset val="204"/>
      </rPr>
      <t xml:space="preserve">, г.в. </t>
    </r>
    <r>
      <rPr>
        <b/>
        <i/>
        <u/>
        <sz val="10"/>
        <rFont val="Times New Roman"/>
        <family val="1"/>
        <charset val="204"/>
      </rPr>
      <t>2013</t>
    </r>
    <r>
      <rPr>
        <sz val="10"/>
        <rFont val="Times New Roman"/>
        <family val="1"/>
        <charset val="204"/>
      </rPr>
      <t xml:space="preserve">, рег. № </t>
    </r>
    <r>
      <rPr>
        <b/>
        <i/>
        <u/>
        <sz val="10"/>
        <rFont val="Times New Roman"/>
        <family val="1"/>
        <charset val="204"/>
      </rPr>
      <t>45686-10</t>
    </r>
    <r>
      <rPr>
        <sz val="10"/>
        <rFont val="Times New Roman"/>
        <family val="1"/>
        <charset val="204"/>
      </rPr>
      <t xml:space="preserve"> </t>
    </r>
  </si>
  <si>
    <t>_temp</t>
  </si>
  <si>
    <t>_hum</t>
  </si>
  <si>
    <t>_pres</t>
  </si>
  <si>
    <t>odcv1_1_1</t>
  </si>
  <si>
    <t>odcv1_1_2</t>
  </si>
  <si>
    <t>odcv1_1_3</t>
  </si>
  <si>
    <t>odcv1_1_4</t>
  </si>
  <si>
    <t>odcv1_1_5</t>
  </si>
  <si>
    <t>odcv1_1_6</t>
  </si>
  <si>
    <t>odcv1_1_7</t>
  </si>
  <si>
    <t>odcv1_1_8</t>
  </si>
  <si>
    <t>odcv1_1_9</t>
  </si>
  <si>
    <t>odcv1_1_10</t>
  </si>
  <si>
    <t>odcv1_1_11</t>
  </si>
  <si>
    <t>odcv1_1_12</t>
  </si>
  <si>
    <t>odcv1_1_13</t>
  </si>
  <si>
    <t>odcv1_1_14</t>
  </si>
  <si>
    <t>odcv1_1_15</t>
  </si>
  <si>
    <t>odcv1_1_16</t>
  </si>
  <si>
    <t>odcv1_1_17</t>
  </si>
  <si>
    <t>odcv1_1_18</t>
  </si>
  <si>
    <t>odcv1_1_19</t>
  </si>
  <si>
    <t>odcv1_1_20</t>
  </si>
  <si>
    <t>odcv1_1_21</t>
  </si>
  <si>
    <t>odcv1_1_22</t>
  </si>
  <si>
    <t>odcv1_1_23</t>
  </si>
  <si>
    <t>odcv1_1_24</t>
  </si>
  <si>
    <t>odcv1_50_1</t>
  </si>
  <si>
    <t>odcv1_50_2</t>
  </si>
  <si>
    <t>odcv1_50_3</t>
  </si>
  <si>
    <t>odcv1_50_4</t>
  </si>
  <si>
    <t>odcv1_50_5</t>
  </si>
  <si>
    <t>odcv1_50_6</t>
  </si>
  <si>
    <t>odcv1_50_7</t>
  </si>
  <si>
    <t>odcv1_50_8</t>
  </si>
  <si>
    <t>odcv1_50_9</t>
  </si>
  <si>
    <t>odcv1_50_10</t>
  </si>
  <si>
    <t>odcv1_50_11</t>
  </si>
  <si>
    <t>odcv1_50_12</t>
  </si>
  <si>
    <t>odcv1_50_13</t>
  </si>
  <si>
    <t>odcv1_50_14</t>
  </si>
  <si>
    <t>odcv1_50_15</t>
  </si>
  <si>
    <t>odcv1_50_16</t>
  </si>
  <si>
    <t>odcv1_50_17</t>
  </si>
  <si>
    <t>odcv1_50_18</t>
  </si>
  <si>
    <t>odcv1_50_19</t>
  </si>
  <si>
    <t>odcv1_50_20</t>
  </si>
  <si>
    <t>odcv1_50_21</t>
  </si>
  <si>
    <t>odcv1_50_22</t>
  </si>
  <si>
    <t>odcv1_50_23</t>
  </si>
  <si>
    <t>odcv1_50_24</t>
  </si>
  <si>
    <t>odcv2_1_1</t>
  </si>
  <si>
    <t>odcv2_1_2</t>
  </si>
  <si>
    <t>odcv2_1_3</t>
  </si>
  <si>
    <t>odcv2_1_4</t>
  </si>
  <si>
    <t>odcv2_1_5</t>
  </si>
  <si>
    <t>odcv2_1_6</t>
  </si>
  <si>
    <t>odcv2_1_7</t>
  </si>
  <si>
    <t>odcv2_1_8</t>
  </si>
  <si>
    <t>odcv2_1_9</t>
  </si>
  <si>
    <t>odcv2_1_10</t>
  </si>
  <si>
    <t>odcv2_1_11</t>
  </si>
  <si>
    <t>odcv2_1_12</t>
  </si>
  <si>
    <t>odcv2_1_13</t>
  </si>
  <si>
    <t>odcv2_1_14</t>
  </si>
  <si>
    <t>odcv2_1_15</t>
  </si>
  <si>
    <t>odcv2_1_16</t>
  </si>
  <si>
    <t>odcv2_1_17</t>
  </si>
  <si>
    <t>odcv2_1_18</t>
  </si>
  <si>
    <t>odcv2_1_19</t>
  </si>
  <si>
    <t>odcv2_1_20</t>
  </si>
  <si>
    <t>odcv2_1_21</t>
  </si>
  <si>
    <t>odcv2_1_22</t>
  </si>
  <si>
    <t>odcv2_1_23</t>
  </si>
  <si>
    <t>odcv2_1_24</t>
  </si>
  <si>
    <t>odcv2_50_1</t>
  </si>
  <si>
    <t>odcv2_50_2</t>
  </si>
  <si>
    <t>odcv2_50_3</t>
  </si>
  <si>
    <t>odcv2_50_4</t>
  </si>
  <si>
    <t>odcv2_50_5</t>
  </si>
  <si>
    <t>odcv2_50_6</t>
  </si>
  <si>
    <t>odcv2_50_7</t>
  </si>
  <si>
    <t>odcv2_50_8</t>
  </si>
  <si>
    <t>odcv2_50_9</t>
  </si>
  <si>
    <t>odcv2_50_10</t>
  </si>
  <si>
    <t>odcv2_50_11</t>
  </si>
  <si>
    <t>odcv2_50_12</t>
  </si>
  <si>
    <t>odcv2_50_13</t>
  </si>
  <si>
    <t>odcv2_50_14</t>
  </si>
  <si>
    <t>odcv2_50_15</t>
  </si>
  <si>
    <t>odcv2_50_16</t>
  </si>
  <si>
    <t>odcv2_50_17</t>
  </si>
  <si>
    <t>odcv2_50_18</t>
  </si>
  <si>
    <t>odcv2_50_19</t>
  </si>
  <si>
    <t>odcv2_50_20</t>
  </si>
  <si>
    <t>odcv2_50_21</t>
  </si>
  <si>
    <t>odcv2_50_22</t>
  </si>
  <si>
    <t>odcv2_50_23</t>
  </si>
  <si>
    <t>odcv2_50_24</t>
  </si>
  <si>
    <t>odcv3_1_1</t>
  </si>
  <si>
    <t>odcv3_1_2</t>
  </si>
  <si>
    <t>odcv3_1_3</t>
  </si>
  <si>
    <t>odcv3_1_4</t>
  </si>
  <si>
    <t>odcv3_1_5</t>
  </si>
  <si>
    <t>odcv3_1_6</t>
  </si>
  <si>
    <t>odcv3_1_7</t>
  </si>
  <si>
    <t>odcv3_1_8</t>
  </si>
  <si>
    <t>odcv3_1_9</t>
  </si>
  <si>
    <t>odcv3_1_10</t>
  </si>
  <si>
    <t>odcv3_1_11</t>
  </si>
  <si>
    <t>odcv3_1_12</t>
  </si>
  <si>
    <t>odcv3_1_13</t>
  </si>
  <si>
    <t>odcv3_1_14</t>
  </si>
  <si>
    <t>odcv3_1_15</t>
  </si>
  <si>
    <t>odcv3_1_16</t>
  </si>
  <si>
    <t>odcv3_1_17</t>
  </si>
  <si>
    <t>odcv3_1_18</t>
  </si>
  <si>
    <t>odcv3_1_19</t>
  </si>
  <si>
    <t>odcv3_1_20</t>
  </si>
  <si>
    <t>odcv3_1_21</t>
  </si>
  <si>
    <t>odcv3_1_22</t>
  </si>
  <si>
    <t>odcv3_1_23</t>
  </si>
  <si>
    <t>odcv3_1_24</t>
  </si>
  <si>
    <t>odcv3_50_1</t>
  </si>
  <si>
    <t>odcv3_50_2</t>
  </si>
  <si>
    <t>odcv3_50_3</t>
  </si>
  <si>
    <t>odcv3_50_4</t>
  </si>
  <si>
    <t>odcv3_50_5</t>
  </si>
  <si>
    <t>odcv3_50_6</t>
  </si>
  <si>
    <t>odcv3_50_7</t>
  </si>
  <si>
    <t>odcv3_50_8</t>
  </si>
  <si>
    <t>odcv3_50_9</t>
  </si>
  <si>
    <t>odcv3_50_10</t>
  </si>
  <si>
    <t>odcv3_50_11</t>
  </si>
  <si>
    <t>odcv3_50_12</t>
  </si>
  <si>
    <t>odcv3_50_13</t>
  </si>
  <si>
    <t>odcv3_50_14</t>
  </si>
  <si>
    <t>odcv3_50_15</t>
  </si>
  <si>
    <t>odcv3_50_16</t>
  </si>
  <si>
    <t>odcv3_50_17</t>
  </si>
  <si>
    <t>odcv3_50_18</t>
  </si>
  <si>
    <t>odcv3_50_19</t>
  </si>
  <si>
    <t>odcv3_50_20</t>
  </si>
  <si>
    <t>odcv3_50_21</t>
  </si>
  <si>
    <t>odcv3_50_22</t>
  </si>
  <si>
    <t>odcv3_50_23</t>
  </si>
  <si>
    <t>odcv3_50_24</t>
  </si>
  <si>
    <t>odcv4_1_1</t>
  </si>
  <si>
    <t>odcv4_1_2</t>
  </si>
  <si>
    <t>odcv4_1_3</t>
  </si>
  <si>
    <t>odcv4_1_4</t>
  </si>
  <si>
    <t>odcv4_1_5</t>
  </si>
  <si>
    <t>odcv4_1_6</t>
  </si>
  <si>
    <t>odcv4_1_7</t>
  </si>
  <si>
    <t>odcv4_1_8</t>
  </si>
  <si>
    <t>odcv4_1_9</t>
  </si>
  <si>
    <t>odcv4_1_10</t>
  </si>
  <si>
    <t>odcv4_1_11</t>
  </si>
  <si>
    <t>odcv4_1_12</t>
  </si>
  <si>
    <t>odcv4_1_13</t>
  </si>
  <si>
    <t>odcv4_1_14</t>
  </si>
  <si>
    <t>odcv4_1_15</t>
  </si>
  <si>
    <t>odcv4_1_16</t>
  </si>
  <si>
    <t>odcv4_1_17</t>
  </si>
  <si>
    <t>odcv4_1_18</t>
  </si>
  <si>
    <t>odcv4_1_19</t>
  </si>
  <si>
    <t>odcv4_1_20</t>
  </si>
  <si>
    <t>odcv4_1_21</t>
  </si>
  <si>
    <t>odcv4_1_22</t>
  </si>
  <si>
    <t>odcv4_1_23</t>
  </si>
  <si>
    <t>odcv4_1_24</t>
  </si>
  <si>
    <t>odcv4_50_1</t>
  </si>
  <si>
    <t>odcv4_50_2</t>
  </si>
  <si>
    <t>odcv4_50_3</t>
  </si>
  <si>
    <t>odcv4_50_4</t>
  </si>
  <si>
    <t>odcv4_50_5</t>
  </si>
  <si>
    <t>odcv4_50_6</t>
  </si>
  <si>
    <t>odcv4_50_7</t>
  </si>
  <si>
    <t>odcv4_50_8</t>
  </si>
  <si>
    <t>odcv4_50_9</t>
  </si>
  <si>
    <t>odcv4_50_10</t>
  </si>
  <si>
    <t>odcv4_50_11</t>
  </si>
  <si>
    <t>odcv4_50_12</t>
  </si>
  <si>
    <t>odcv4_50_13</t>
  </si>
  <si>
    <t>odcv4_50_14</t>
  </si>
  <si>
    <t>odcv4_50_15</t>
  </si>
  <si>
    <t>odcv4_50_16</t>
  </si>
  <si>
    <t>odcv4_50_17</t>
  </si>
  <si>
    <t>odcv4_50_18</t>
  </si>
  <si>
    <t>odcv4_50_19</t>
  </si>
  <si>
    <t>odcv4_50_20</t>
  </si>
  <si>
    <t>odcv4_50_21</t>
  </si>
  <si>
    <t>odcv4_50_22</t>
  </si>
  <si>
    <t>odcv4_50_23</t>
  </si>
  <si>
    <t>odcv4_50_24</t>
  </si>
  <si>
    <r>
      <rPr>
        <sz val="10"/>
        <rFont val="Symbol"/>
        <family val="1"/>
        <charset val="2"/>
      </rPr>
      <t>t</t>
    </r>
    <r>
      <rPr>
        <vertAlign val="subscript"/>
        <sz val="10"/>
        <rFont val="Times New Roman"/>
        <family val="1"/>
        <charset val="204"/>
      </rPr>
      <t>доп</t>
    </r>
    <r>
      <rPr>
        <sz val="10"/>
        <rFont val="Times New Roman"/>
        <family val="1"/>
        <charset val="204"/>
      </rPr>
      <t>, пс, не более</t>
    </r>
  </si>
  <si>
    <t>tr1_1</t>
  </si>
  <si>
    <t>tr2_1</t>
  </si>
  <si>
    <t>tr3_1</t>
  </si>
  <si>
    <t>tr4_1</t>
  </si>
  <si>
    <t>30 (50 Ом)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</si>
</sst>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0"/>
  </numFmts>
  <fonts count="14" x14ac:knownFonts="1">
    <font>
      <sz val="10"/>
      <name val="Arial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0"/>
      <name val="Arial"/>
      <family val="2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sz val="10"/>
      <name val="Arial Cyr"/>
      <charset val="204"/>
    </font>
    <font>
      <sz val="10"/>
      <name val="Calibri"/>
      <family val="2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2" fillId="0" borderId="0" xfId="0" applyFont="1" applyBorder="1" applyAlignment="1" applyProtection="1">
      <alignment horizontal="left" vertical="justify" wrapText="1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3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wrapText="1"/>
      <protection locked="0"/>
    </xf>
    <xf numFmtId="165" fontId="2" fillId="0" borderId="0" xfId="0" applyNumberFormat="1" applyFont="1" applyBorder="1" applyAlignment="1" applyProtection="1">
      <alignment horizontal="center" vertical="center"/>
      <protection locked="0"/>
    </xf>
    <xf numFmtId="166" fontId="8" fillId="0" borderId="0" xfId="0" applyNumberFormat="1" applyFont="1" applyBorder="1" applyAlignment="1" applyProtection="1">
      <alignment horizontal="center" vertical="center"/>
      <protection locked="0"/>
    </xf>
    <xf numFmtId="2" fontId="8" fillId="0" borderId="0" xfId="0" applyNumberFormat="1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left" vertical="center"/>
      <protection locked="0"/>
    </xf>
    <xf numFmtId="2" fontId="8" fillId="0" borderId="0" xfId="0" applyNumberFormat="1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Border="1" applyAlignment="1" applyProtection="1">
      <alignment vertical="justify" wrapText="1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right"/>
    </xf>
    <xf numFmtId="0" fontId="2" fillId="0" borderId="0" xfId="0" applyFont="1" applyBorder="1"/>
    <xf numFmtId="0" fontId="2" fillId="0" borderId="13" xfId="0" applyFont="1" applyBorder="1" applyAlignment="1" applyProtection="1">
      <alignment horizontal="right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166" fontId="2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164" fontId="8" fillId="0" borderId="1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165" fontId="2" fillId="0" borderId="11" xfId="0" applyNumberFormat="1" applyFont="1" applyBorder="1" applyAlignment="1" applyProtection="1">
      <alignment horizontal="center" vertical="center"/>
      <protection locked="0"/>
    </xf>
    <xf numFmtId="165" fontId="2" fillId="0" borderId="12" xfId="0" applyNumberFormat="1" applyFont="1" applyBorder="1" applyAlignment="1" applyProtection="1">
      <alignment horizontal="center" vertical="center"/>
      <protection locked="0"/>
    </xf>
    <xf numFmtId="2" fontId="8" fillId="0" borderId="1" xfId="0" applyNumberFormat="1" applyFont="1" applyBorder="1" applyAlignment="1" applyProtection="1">
      <alignment horizontal="center" vertical="center"/>
      <protection locked="0"/>
    </xf>
    <xf numFmtId="2" fontId="8" fillId="0" borderId="1" xfId="0" applyNumberFormat="1" applyFont="1" applyBorder="1" applyAlignment="1" applyProtection="1">
      <alignment horizontal="center" vertical="center"/>
    </xf>
    <xf numFmtId="0" fontId="13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Border="1" applyAlignment="1" applyProtection="1">
      <alignment horizontal="left" vertical="justify" wrapText="1"/>
      <protection locked="0"/>
    </xf>
    <xf numFmtId="0" fontId="2" fillId="0" borderId="0" xfId="0" applyFont="1" applyAlignment="1">
      <alignment horizontal="right"/>
    </xf>
    <xf numFmtId="0" fontId="8" fillId="0" borderId="13" xfId="0" applyFont="1" applyBorder="1" applyAlignment="1">
      <alignment horizontal="center"/>
    </xf>
    <xf numFmtId="0" fontId="2" fillId="0" borderId="0" xfId="0" applyFont="1" applyAlignment="1" applyProtection="1">
      <alignment horizontal="right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9"/>
  <sheetViews>
    <sheetView tabSelected="1" view="pageLayout" zoomScaleNormal="100" zoomScaleSheetLayoutView="115" workbookViewId="0">
      <selection sqref="A1:N1"/>
    </sheetView>
  </sheetViews>
  <sheetFormatPr defaultRowHeight="12.75" x14ac:dyDescent="0.2"/>
  <cols>
    <col min="1" max="1" width="6.5703125" customWidth="1"/>
    <col min="4" max="4" width="10.85546875" customWidth="1"/>
    <col min="5" max="6" width="7.85546875" customWidth="1"/>
    <col min="7" max="7" width="9.7109375" customWidth="1"/>
    <col min="8" max="8" width="8.85546875" customWidth="1"/>
    <col min="9" max="9" width="10" customWidth="1"/>
    <col min="10" max="11" width="8" customWidth="1"/>
    <col min="12" max="13" width="7.42578125" customWidth="1"/>
    <col min="14" max="14" width="12.28515625" customWidth="1"/>
    <col min="15" max="15" width="12" customWidth="1"/>
    <col min="16" max="16" width="10.85546875" customWidth="1"/>
    <col min="17" max="17" width="11.7109375" customWidth="1"/>
  </cols>
  <sheetData>
    <row r="1" spans="1:16" s="2" customFormat="1" ht="67.5" customHeight="1" x14ac:dyDescent="0.2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22"/>
      <c r="P1" s="3"/>
    </row>
    <row r="2" spans="1:16" s="2" customFormat="1" ht="6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s="2" customFormat="1" ht="12.75" customHeight="1" x14ac:dyDescent="0.25">
      <c r="A3" s="68" t="s">
        <v>403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7"/>
      <c r="P3" s="3"/>
    </row>
    <row r="4" spans="1:16" s="2" customFormat="1" ht="4.5" customHeight="1" x14ac:dyDescent="0.2">
      <c r="A4" s="4"/>
      <c r="B4" s="4"/>
      <c r="C4" s="4"/>
      <c r="D4" s="4"/>
      <c r="E4" s="4" t="s">
        <v>6</v>
      </c>
      <c r="F4" s="5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s="2" customFormat="1" ht="12.75" customHeight="1" x14ac:dyDescent="0.25">
      <c r="A5" s="6" t="s">
        <v>19</v>
      </c>
      <c r="B5" s="4"/>
      <c r="C5" s="4"/>
      <c r="D5" s="4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s="2" customFormat="1" ht="4.5" customHeight="1" x14ac:dyDescent="0.2">
      <c r="A6" s="4"/>
      <c r="B6" s="4"/>
      <c r="C6" s="4"/>
      <c r="D6" s="4"/>
      <c r="E6" s="4"/>
      <c r="F6" s="5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2" customFormat="1" ht="27.75" customHeight="1" x14ac:dyDescent="0.25">
      <c r="A7" s="69" t="s">
        <v>121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23"/>
      <c r="P7" s="3"/>
    </row>
    <row r="8" spans="1:16" s="2" customFormat="1" ht="8.25" customHeight="1" x14ac:dyDescent="0.2">
      <c r="A8" s="7"/>
      <c r="B8" s="7"/>
      <c r="C8" s="7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s="2" customFormat="1" x14ac:dyDescent="0.2">
      <c r="A9" s="7" t="s">
        <v>15</v>
      </c>
      <c r="B9" s="7"/>
      <c r="C9" s="7"/>
      <c r="D9" s="7"/>
      <c r="E9" s="7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s="2" customFormat="1" ht="6" customHeight="1" x14ac:dyDescent="0.2">
      <c r="A10" s="7"/>
      <c r="B10" s="7"/>
      <c r="C10" s="7"/>
      <c r="D10" s="7"/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s="2" customFormat="1" ht="26.25" customHeight="1" x14ac:dyDescent="0.2">
      <c r="A11" s="42" t="s">
        <v>7</v>
      </c>
      <c r="B11" s="42"/>
      <c r="C11" s="42"/>
      <c r="D11" s="42"/>
      <c r="E11" s="45" t="s">
        <v>8</v>
      </c>
      <c r="F11" s="45"/>
      <c r="G11" s="45" t="s">
        <v>20</v>
      </c>
      <c r="H11" s="45"/>
      <c r="I11" s="3"/>
      <c r="J11" s="3"/>
      <c r="K11" s="3"/>
      <c r="L11" s="3"/>
      <c r="M11" s="3"/>
      <c r="N11" s="3"/>
      <c r="O11" s="3"/>
      <c r="P11" s="3"/>
    </row>
    <row r="12" spans="1:16" s="2" customFormat="1" ht="15.75" customHeight="1" x14ac:dyDescent="0.25">
      <c r="A12" s="74" t="s">
        <v>9</v>
      </c>
      <c r="B12" s="74"/>
      <c r="C12" s="74"/>
      <c r="D12" s="74"/>
      <c r="E12" s="73" t="s">
        <v>404</v>
      </c>
      <c r="F12" s="73"/>
      <c r="G12" s="61" t="s">
        <v>21</v>
      </c>
      <c r="H12" s="62"/>
      <c r="I12" s="3"/>
      <c r="J12" s="3"/>
      <c r="K12" s="3"/>
      <c r="L12" s="3"/>
      <c r="M12" s="3"/>
      <c r="N12" s="3"/>
      <c r="O12" s="3"/>
      <c r="P12" s="3"/>
    </row>
    <row r="13" spans="1:16" s="2" customFormat="1" ht="15.75" customHeight="1" x14ac:dyDescent="0.25">
      <c r="A13" s="74" t="s">
        <v>10</v>
      </c>
      <c r="B13" s="74"/>
      <c r="C13" s="74"/>
      <c r="D13" s="74"/>
      <c r="E13" s="73" t="s">
        <v>405</v>
      </c>
      <c r="F13" s="73"/>
      <c r="G13" s="61" t="s">
        <v>22</v>
      </c>
      <c r="H13" s="62"/>
      <c r="I13" s="3"/>
      <c r="J13" s="3"/>
      <c r="K13" s="3"/>
      <c r="L13" s="3"/>
      <c r="M13" s="3"/>
      <c r="N13" s="3"/>
      <c r="O13" s="3"/>
      <c r="P13" s="3"/>
    </row>
    <row r="14" spans="1:16" s="2" customFormat="1" ht="15.75" customHeight="1" x14ac:dyDescent="0.25">
      <c r="A14" s="74" t="s">
        <v>11</v>
      </c>
      <c r="B14" s="74"/>
      <c r="C14" s="74"/>
      <c r="D14" s="74"/>
      <c r="E14" s="73" t="s">
        <v>406</v>
      </c>
      <c r="F14" s="73"/>
      <c r="G14" s="61" t="s">
        <v>23</v>
      </c>
      <c r="H14" s="62"/>
      <c r="I14" s="3"/>
      <c r="J14" s="3"/>
      <c r="K14" s="3"/>
      <c r="L14" s="3"/>
      <c r="M14" s="3"/>
      <c r="N14" s="3"/>
      <c r="O14" s="3"/>
      <c r="P14" s="3"/>
    </row>
    <row r="15" spans="1:16" s="2" customFormat="1" ht="15.75" customHeight="1" x14ac:dyDescent="0.2">
      <c r="A15" s="74" t="s">
        <v>26</v>
      </c>
      <c r="B15" s="74"/>
      <c r="C15" s="74"/>
      <c r="D15" s="74"/>
      <c r="E15" s="72">
        <v>221</v>
      </c>
      <c r="F15" s="72"/>
      <c r="G15" s="61" t="s">
        <v>24</v>
      </c>
      <c r="H15" s="62"/>
      <c r="I15" s="3"/>
      <c r="J15" s="3"/>
      <c r="K15" s="3"/>
      <c r="L15" s="3"/>
      <c r="M15" s="3"/>
      <c r="N15" s="3"/>
      <c r="O15" s="3"/>
      <c r="P15" s="3"/>
    </row>
    <row r="16" spans="1:16" s="2" customFormat="1" ht="15.75" customHeight="1" x14ac:dyDescent="0.2">
      <c r="A16" s="74" t="s">
        <v>27</v>
      </c>
      <c r="B16" s="74"/>
      <c r="C16" s="74"/>
      <c r="D16" s="74"/>
      <c r="E16" s="72">
        <v>50</v>
      </c>
      <c r="F16" s="72"/>
      <c r="G16" s="61" t="s">
        <v>25</v>
      </c>
      <c r="H16" s="62"/>
      <c r="I16" s="3"/>
      <c r="J16" s="3"/>
      <c r="K16" s="3"/>
      <c r="L16" s="3"/>
      <c r="M16" s="3"/>
      <c r="N16" s="3"/>
      <c r="O16" s="3"/>
      <c r="P16" s="3"/>
    </row>
    <row r="17" spans="1:16" s="2" customFormat="1" ht="5.25" customHeight="1" x14ac:dyDescent="0.2">
      <c r="A17" s="8"/>
      <c r="B17" s="8"/>
      <c r="C17" s="8"/>
      <c r="D17" s="9"/>
      <c r="E17" s="10"/>
      <c r="F17" s="11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s="2" customFormat="1" ht="16.149999999999999" customHeight="1" x14ac:dyDescent="0.2">
      <c r="A18" s="75" t="s">
        <v>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1"/>
      <c r="P18" s="31"/>
    </row>
    <row r="19" spans="1:16" s="2" customFormat="1" ht="4.5" customHeight="1" x14ac:dyDescent="0.2">
      <c r="A19" s="7"/>
      <c r="B19" s="7"/>
      <c r="C19" s="7"/>
      <c r="D19" s="7"/>
      <c r="E19" s="7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s="2" customFormat="1" ht="13.5" x14ac:dyDescent="0.25">
      <c r="A20" s="7" t="s">
        <v>16</v>
      </c>
      <c r="B20" s="7"/>
      <c r="C20" s="7"/>
      <c r="D20" s="7"/>
      <c r="E20" s="7"/>
      <c r="F20" s="12"/>
      <c r="G20" s="13"/>
      <c r="H20" s="3"/>
      <c r="I20" s="3"/>
      <c r="J20" s="3"/>
      <c r="K20" s="3"/>
      <c r="L20" s="3"/>
      <c r="M20" s="3"/>
      <c r="N20" s="3"/>
      <c r="O20" s="3"/>
      <c r="P20" s="3"/>
    </row>
    <row r="21" spans="1:16" s="2" customFormat="1" ht="6" customHeight="1" x14ac:dyDescent="0.2">
      <c r="A21" s="7"/>
      <c r="B21" s="7"/>
      <c r="C21" s="7"/>
      <c r="D21" s="7"/>
      <c r="E21" s="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s="2" customFormat="1" ht="13.5" x14ac:dyDescent="0.25">
      <c r="A22" s="7" t="s">
        <v>17</v>
      </c>
      <c r="B22" s="7"/>
      <c r="C22" s="7"/>
      <c r="D22" s="7"/>
      <c r="E22" s="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s="2" customFormat="1" ht="5.25" customHeight="1" x14ac:dyDescent="0.2">
      <c r="A23" s="7"/>
      <c r="B23" s="7"/>
      <c r="C23" s="7"/>
      <c r="D23" s="7"/>
      <c r="E23" s="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s="2" customFormat="1" ht="12.75" customHeight="1" x14ac:dyDescent="0.2">
      <c r="A24" s="7" t="s">
        <v>28</v>
      </c>
      <c r="B24" s="7"/>
      <c r="C24" s="7"/>
      <c r="D24" s="7"/>
      <c r="E24" s="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s="2" customFormat="1" ht="6" customHeight="1" x14ac:dyDescent="0.2">
      <c r="A25" s="7"/>
      <c r="B25" s="7"/>
      <c r="C25" s="7"/>
      <c r="D25" s="7"/>
      <c r="E25" s="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s="2" customFormat="1" ht="12.75" customHeight="1" x14ac:dyDescent="0.2">
      <c r="A26" s="70" t="s">
        <v>29</v>
      </c>
      <c r="B26" s="70"/>
      <c r="C26" s="70" t="s">
        <v>30</v>
      </c>
      <c r="D26" s="70"/>
      <c r="E26" s="20" t="s">
        <v>31</v>
      </c>
      <c r="F26" s="19" t="s">
        <v>32</v>
      </c>
      <c r="G26" s="3"/>
      <c r="J26" s="3"/>
      <c r="K26" s="3"/>
      <c r="L26" s="3"/>
      <c r="M26" s="3"/>
      <c r="N26" s="3"/>
      <c r="O26" s="3"/>
      <c r="P26" s="3"/>
    </row>
    <row r="27" spans="1:16" s="2" customFormat="1" ht="16.899999999999999" customHeight="1" x14ac:dyDescent="0.25">
      <c r="A27" s="71">
        <v>10</v>
      </c>
      <c r="B27" s="71"/>
      <c r="C27" s="73">
        <v>10.0000003</v>
      </c>
      <c r="D27" s="73"/>
      <c r="E27" s="30">
        <f>(A27-C27)</f>
        <v>-2.9999999995311555E-7</v>
      </c>
      <c r="F27" s="21" t="s">
        <v>33</v>
      </c>
      <c r="G27" s="3"/>
      <c r="J27" s="3"/>
      <c r="K27" s="3"/>
      <c r="L27" s="3"/>
      <c r="M27" s="3"/>
      <c r="N27" s="3"/>
      <c r="O27" s="3"/>
      <c r="P27" s="3"/>
    </row>
    <row r="28" spans="1:16" s="2" customFormat="1" ht="5.25" customHeight="1" x14ac:dyDescent="0.2">
      <c r="A28" s="7"/>
      <c r="B28" s="7"/>
      <c r="C28" s="7"/>
      <c r="D28" s="7"/>
      <c r="E28" s="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s="1" customFormat="1" ht="13.5" customHeight="1" x14ac:dyDescent="0.2">
      <c r="A29" s="76" t="s">
        <v>34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32"/>
      <c r="P29" s="15"/>
    </row>
    <row r="30" spans="1:16" s="1" customFormat="1" ht="6" customHeight="1" x14ac:dyDescent="0.2">
      <c r="A30" s="14"/>
      <c r="B30" s="14"/>
      <c r="C30" s="14"/>
      <c r="D30" s="14"/>
      <c r="E30" s="14"/>
      <c r="F30" s="14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 s="1" customFormat="1" ht="12.75" customHeight="1" x14ac:dyDescent="0.2">
      <c r="A31" s="39" t="s">
        <v>12</v>
      </c>
      <c r="B31" s="45" t="s">
        <v>0</v>
      </c>
      <c r="C31" s="45"/>
      <c r="D31" s="55" t="s">
        <v>63</v>
      </c>
      <c r="E31" s="56"/>
      <c r="F31" s="45" t="s">
        <v>64</v>
      </c>
      <c r="G31" s="45"/>
      <c r="H31" s="45" t="s">
        <v>65</v>
      </c>
      <c r="I31" s="45"/>
      <c r="J31" s="45" t="s">
        <v>66</v>
      </c>
      <c r="K31" s="45"/>
      <c r="L31" s="45" t="s">
        <v>18</v>
      </c>
      <c r="M31" s="45"/>
      <c r="N31" s="45" t="s">
        <v>13</v>
      </c>
      <c r="O31" s="15"/>
    </row>
    <row r="32" spans="1:16" s="1" customFormat="1" x14ac:dyDescent="0.2">
      <c r="A32" s="40"/>
      <c r="B32" s="45"/>
      <c r="C32" s="45"/>
      <c r="D32" s="57"/>
      <c r="E32" s="58"/>
      <c r="F32" s="45"/>
      <c r="G32" s="45"/>
      <c r="H32" s="45"/>
      <c r="I32" s="45"/>
      <c r="J32" s="45"/>
      <c r="K32" s="45"/>
      <c r="L32" s="45"/>
      <c r="M32" s="45"/>
      <c r="N32" s="45"/>
      <c r="O32" s="15"/>
    </row>
    <row r="33" spans="1:15" s="1" customFormat="1" ht="39" customHeight="1" x14ac:dyDescent="0.2">
      <c r="A33" s="41"/>
      <c r="B33" s="45"/>
      <c r="C33" s="45"/>
      <c r="D33" s="59"/>
      <c r="E33" s="60"/>
      <c r="F33" s="45"/>
      <c r="G33" s="45"/>
      <c r="H33" s="45"/>
      <c r="I33" s="45"/>
      <c r="J33" s="45"/>
      <c r="K33" s="45"/>
      <c r="L33" s="45"/>
      <c r="M33" s="45"/>
      <c r="N33" s="45"/>
      <c r="O33" s="15"/>
    </row>
    <row r="34" spans="1:15" s="1" customFormat="1" ht="13.5" x14ac:dyDescent="0.2">
      <c r="A34" s="51">
        <v>1</v>
      </c>
      <c r="B34" s="42" t="s">
        <v>35</v>
      </c>
      <c r="C34" s="42"/>
      <c r="D34" s="43">
        <v>4.5</v>
      </c>
      <c r="E34" s="43"/>
      <c r="F34" s="43">
        <v>-4.5</v>
      </c>
      <c r="G34" s="43"/>
      <c r="H34" s="65" t="s">
        <v>122</v>
      </c>
      <c r="I34" s="65"/>
      <c r="J34" s="65" t="s">
        <v>123</v>
      </c>
      <c r="K34" s="65"/>
      <c r="L34" s="66" t="e">
        <f>((H34-J34)/(D34-F34)-1)*100</f>
        <v>#VALUE!</v>
      </c>
      <c r="M34" s="66"/>
      <c r="N34" s="42" t="s">
        <v>14</v>
      </c>
      <c r="O34" s="15"/>
    </row>
    <row r="35" spans="1:15" s="1" customFormat="1" ht="13.5" x14ac:dyDescent="0.2">
      <c r="A35" s="52"/>
      <c r="B35" s="42" t="s">
        <v>36</v>
      </c>
      <c r="C35" s="42"/>
      <c r="D35" s="43">
        <v>13.5</v>
      </c>
      <c r="E35" s="43"/>
      <c r="F35" s="43">
        <v>-13.5</v>
      </c>
      <c r="G35" s="43"/>
      <c r="H35" s="65" t="s">
        <v>124</v>
      </c>
      <c r="I35" s="65"/>
      <c r="J35" s="65" t="s">
        <v>125</v>
      </c>
      <c r="K35" s="65"/>
      <c r="L35" s="66" t="e">
        <f t="shared" ref="L35:L44" si="0">((H35-J35)/(D35-F35)-1)*100</f>
        <v>#VALUE!</v>
      </c>
      <c r="M35" s="66"/>
      <c r="N35" s="42"/>
      <c r="O35" s="15"/>
    </row>
    <row r="36" spans="1:15" s="1" customFormat="1" ht="13.5" x14ac:dyDescent="0.2">
      <c r="A36" s="52"/>
      <c r="B36" s="61" t="s">
        <v>37</v>
      </c>
      <c r="C36" s="62"/>
      <c r="D36" s="43">
        <v>14.5</v>
      </c>
      <c r="E36" s="43"/>
      <c r="F36" s="43">
        <v>-14.5</v>
      </c>
      <c r="G36" s="43"/>
      <c r="H36" s="65" t="s">
        <v>126</v>
      </c>
      <c r="I36" s="65"/>
      <c r="J36" s="65" t="s">
        <v>127</v>
      </c>
      <c r="K36" s="65"/>
      <c r="L36" s="66" t="e">
        <f t="shared" si="0"/>
        <v>#VALUE!</v>
      </c>
      <c r="M36" s="66"/>
      <c r="N36" s="42"/>
      <c r="O36" s="15"/>
    </row>
    <row r="37" spans="1:15" s="1" customFormat="1" ht="13.5" x14ac:dyDescent="0.2">
      <c r="A37" s="53"/>
      <c r="B37" s="61" t="s">
        <v>5</v>
      </c>
      <c r="C37" s="62"/>
      <c r="D37" s="43">
        <v>45</v>
      </c>
      <c r="E37" s="43"/>
      <c r="F37" s="43">
        <v>-45</v>
      </c>
      <c r="G37" s="43"/>
      <c r="H37" s="65" t="s">
        <v>128</v>
      </c>
      <c r="I37" s="65"/>
      <c r="J37" s="65" t="s">
        <v>129</v>
      </c>
      <c r="K37" s="65"/>
      <c r="L37" s="66" t="e">
        <f t="shared" si="0"/>
        <v>#VALUE!</v>
      </c>
      <c r="M37" s="66"/>
      <c r="N37" s="17" t="s">
        <v>67</v>
      </c>
      <c r="O37" s="15"/>
    </row>
    <row r="38" spans="1:15" s="1" customFormat="1" ht="12.75" customHeight="1" x14ac:dyDescent="0.2">
      <c r="A38" s="45" t="s">
        <v>12</v>
      </c>
      <c r="B38" s="45" t="s">
        <v>0</v>
      </c>
      <c r="C38" s="45"/>
      <c r="D38" s="45" t="s">
        <v>63</v>
      </c>
      <c r="E38" s="45"/>
      <c r="F38" s="45" t="s">
        <v>64</v>
      </c>
      <c r="G38" s="45"/>
      <c r="H38" s="45" t="s">
        <v>65</v>
      </c>
      <c r="I38" s="45"/>
      <c r="J38" s="45" t="s">
        <v>66</v>
      </c>
      <c r="K38" s="45"/>
      <c r="L38" s="45" t="s">
        <v>18</v>
      </c>
      <c r="M38" s="45"/>
      <c r="N38" s="45" t="s">
        <v>13</v>
      </c>
      <c r="O38" s="15"/>
    </row>
    <row r="39" spans="1:15" s="1" customFormat="1" x14ac:dyDescent="0.2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15"/>
    </row>
    <row r="40" spans="1:15" s="1" customFormat="1" ht="39" customHeight="1" x14ac:dyDescent="0.2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15"/>
    </row>
    <row r="41" spans="1:15" s="1" customFormat="1" ht="14.45" customHeight="1" x14ac:dyDescent="0.2">
      <c r="A41" s="42">
        <v>1</v>
      </c>
      <c r="B41" s="42" t="s">
        <v>38</v>
      </c>
      <c r="C41" s="42"/>
      <c r="D41" s="43">
        <v>50</v>
      </c>
      <c r="E41" s="43"/>
      <c r="F41" s="43">
        <v>-50</v>
      </c>
      <c r="G41" s="43"/>
      <c r="H41" s="65" t="s">
        <v>130</v>
      </c>
      <c r="I41" s="65"/>
      <c r="J41" s="65" t="s">
        <v>131</v>
      </c>
      <c r="K41" s="65"/>
      <c r="L41" s="66" t="e">
        <f t="shared" si="0"/>
        <v>#VALUE!</v>
      </c>
      <c r="M41" s="66"/>
      <c r="N41" s="42" t="s">
        <v>67</v>
      </c>
      <c r="O41" s="15"/>
    </row>
    <row r="42" spans="1:15" s="1" customFormat="1" ht="14.45" customHeight="1" x14ac:dyDescent="0.2">
      <c r="A42" s="42"/>
      <c r="B42" s="42" t="s">
        <v>90</v>
      </c>
      <c r="C42" s="42"/>
      <c r="D42" s="43">
        <v>135</v>
      </c>
      <c r="E42" s="43"/>
      <c r="F42" s="43">
        <v>-135</v>
      </c>
      <c r="G42" s="43"/>
      <c r="H42" s="65" t="s">
        <v>132</v>
      </c>
      <c r="I42" s="65"/>
      <c r="J42" s="65" t="s">
        <v>133</v>
      </c>
      <c r="K42" s="65"/>
      <c r="L42" s="66" t="e">
        <f t="shared" si="0"/>
        <v>#VALUE!</v>
      </c>
      <c r="M42" s="66"/>
      <c r="N42" s="42"/>
      <c r="O42" s="15"/>
    </row>
    <row r="43" spans="1:15" s="1" customFormat="1" ht="14.45" customHeight="1" x14ac:dyDescent="0.2">
      <c r="A43" s="42"/>
      <c r="B43" s="42" t="s">
        <v>39</v>
      </c>
      <c r="C43" s="42"/>
      <c r="D43" s="43">
        <v>145</v>
      </c>
      <c r="E43" s="43"/>
      <c r="F43" s="43">
        <v>-145</v>
      </c>
      <c r="G43" s="43"/>
      <c r="H43" s="65" t="s">
        <v>134</v>
      </c>
      <c r="I43" s="65"/>
      <c r="J43" s="65" t="s">
        <v>135</v>
      </c>
      <c r="K43" s="65"/>
      <c r="L43" s="66" t="e">
        <f t="shared" si="0"/>
        <v>#VALUE!</v>
      </c>
      <c r="M43" s="66"/>
      <c r="N43" s="42"/>
      <c r="O43" s="15"/>
    </row>
    <row r="44" spans="1:15" s="1" customFormat="1" ht="14.45" customHeight="1" x14ac:dyDescent="0.2">
      <c r="A44" s="42"/>
      <c r="B44" s="42" t="s">
        <v>40</v>
      </c>
      <c r="C44" s="42"/>
      <c r="D44" s="43">
        <v>320</v>
      </c>
      <c r="E44" s="43"/>
      <c r="F44" s="43">
        <v>-320</v>
      </c>
      <c r="G44" s="43"/>
      <c r="H44" s="65" t="s">
        <v>136</v>
      </c>
      <c r="I44" s="65"/>
      <c r="J44" s="65" t="s">
        <v>137</v>
      </c>
      <c r="K44" s="65"/>
      <c r="L44" s="66" t="e">
        <f t="shared" si="0"/>
        <v>#VALUE!</v>
      </c>
      <c r="M44" s="66"/>
      <c r="N44" s="42"/>
      <c r="O44" s="15"/>
    </row>
    <row r="45" spans="1:15" s="1" customFormat="1" ht="14.45" customHeight="1" x14ac:dyDescent="0.2">
      <c r="A45" s="42"/>
      <c r="B45" s="42" t="s">
        <v>4</v>
      </c>
      <c r="C45" s="42"/>
      <c r="D45" s="43">
        <v>450</v>
      </c>
      <c r="E45" s="43"/>
      <c r="F45" s="43">
        <v>-450</v>
      </c>
      <c r="G45" s="43"/>
      <c r="H45" s="65" t="s">
        <v>138</v>
      </c>
      <c r="I45" s="65"/>
      <c r="J45" s="65" t="s">
        <v>139</v>
      </c>
      <c r="K45" s="65"/>
      <c r="L45" s="66" t="e">
        <f t="shared" ref="L45:L70" si="1">((H45-J45)/(D45-F45)-1)*100</f>
        <v>#VALUE!</v>
      </c>
      <c r="M45" s="66"/>
      <c r="N45" s="42"/>
      <c r="O45" s="15"/>
    </row>
    <row r="46" spans="1:15" s="1" customFormat="1" ht="14.45" customHeight="1" x14ac:dyDescent="0.2">
      <c r="A46" s="42"/>
      <c r="B46" s="42" t="s">
        <v>41</v>
      </c>
      <c r="C46" s="42"/>
      <c r="D46" s="43">
        <v>500</v>
      </c>
      <c r="E46" s="43"/>
      <c r="F46" s="43">
        <v>-500</v>
      </c>
      <c r="G46" s="43"/>
      <c r="H46" s="65" t="s">
        <v>140</v>
      </c>
      <c r="I46" s="65"/>
      <c r="J46" s="65" t="s">
        <v>141</v>
      </c>
      <c r="K46" s="65"/>
      <c r="L46" s="66" t="e">
        <f t="shared" si="1"/>
        <v>#VALUE!</v>
      </c>
      <c r="M46" s="66"/>
      <c r="N46" s="42"/>
      <c r="O46" s="15"/>
    </row>
    <row r="47" spans="1:15" s="1" customFormat="1" ht="14.45" customHeight="1" x14ac:dyDescent="0.2">
      <c r="A47" s="42"/>
      <c r="B47" s="42" t="s">
        <v>42</v>
      </c>
      <c r="C47" s="42"/>
      <c r="D47" s="43">
        <v>1350</v>
      </c>
      <c r="E47" s="43"/>
      <c r="F47" s="43">
        <v>-1350</v>
      </c>
      <c r="G47" s="43"/>
      <c r="H47" s="65" t="s">
        <v>142</v>
      </c>
      <c r="I47" s="65"/>
      <c r="J47" s="65" t="s">
        <v>143</v>
      </c>
      <c r="K47" s="65"/>
      <c r="L47" s="66" t="e">
        <f t="shared" si="1"/>
        <v>#VALUE!</v>
      </c>
      <c r="M47" s="66"/>
      <c r="N47" s="42"/>
      <c r="O47" s="15"/>
    </row>
    <row r="48" spans="1:15" s="1" customFormat="1" ht="14.45" customHeight="1" x14ac:dyDescent="0.2">
      <c r="A48" s="42"/>
      <c r="B48" s="42" t="s">
        <v>43</v>
      </c>
      <c r="C48" s="42"/>
      <c r="D48" s="43">
        <v>1450</v>
      </c>
      <c r="E48" s="43"/>
      <c r="F48" s="43">
        <v>-1450</v>
      </c>
      <c r="G48" s="43"/>
      <c r="H48" s="65" t="s">
        <v>144</v>
      </c>
      <c r="I48" s="65"/>
      <c r="J48" s="65" t="s">
        <v>145</v>
      </c>
      <c r="K48" s="65"/>
      <c r="L48" s="66" t="e">
        <f t="shared" si="1"/>
        <v>#VALUE!</v>
      </c>
      <c r="M48" s="66"/>
      <c r="N48" s="42"/>
      <c r="O48" s="15"/>
    </row>
    <row r="49" spans="1:15" s="1" customFormat="1" ht="14.45" customHeight="1" x14ac:dyDescent="0.2">
      <c r="A49" s="42"/>
      <c r="B49" s="42" t="s">
        <v>44</v>
      </c>
      <c r="C49" s="42"/>
      <c r="D49" s="43">
        <v>4500</v>
      </c>
      <c r="E49" s="43"/>
      <c r="F49" s="43">
        <v>-4500</v>
      </c>
      <c r="G49" s="43"/>
      <c r="H49" s="65" t="s">
        <v>146</v>
      </c>
      <c r="I49" s="65"/>
      <c r="J49" s="65" t="s">
        <v>147</v>
      </c>
      <c r="K49" s="65"/>
      <c r="L49" s="66" t="e">
        <f t="shared" si="1"/>
        <v>#VALUE!</v>
      </c>
      <c r="M49" s="66"/>
      <c r="N49" s="42"/>
      <c r="O49" s="15"/>
    </row>
    <row r="50" spans="1:15" s="1" customFormat="1" ht="14.45" customHeight="1" x14ac:dyDescent="0.2">
      <c r="A50" s="42"/>
      <c r="B50" s="42" t="s">
        <v>45</v>
      </c>
      <c r="C50" s="42"/>
      <c r="D50" s="43">
        <v>5000</v>
      </c>
      <c r="E50" s="43"/>
      <c r="F50" s="43">
        <v>-5000</v>
      </c>
      <c r="G50" s="43"/>
      <c r="H50" s="65" t="s">
        <v>148</v>
      </c>
      <c r="I50" s="65"/>
      <c r="J50" s="65" t="s">
        <v>149</v>
      </c>
      <c r="K50" s="65"/>
      <c r="L50" s="66" t="e">
        <f t="shared" si="1"/>
        <v>#VALUE!</v>
      </c>
      <c r="M50" s="66"/>
      <c r="N50" s="42"/>
      <c r="O50" s="15"/>
    </row>
    <row r="51" spans="1:15" s="1" customFormat="1" ht="14.45" customHeight="1" x14ac:dyDescent="0.2">
      <c r="A51" s="42"/>
      <c r="B51" s="42" t="s">
        <v>46</v>
      </c>
      <c r="C51" s="42"/>
      <c r="D51" s="43">
        <v>13500</v>
      </c>
      <c r="E51" s="43"/>
      <c r="F51" s="43">
        <v>-13500</v>
      </c>
      <c r="G51" s="43"/>
      <c r="H51" s="65" t="s">
        <v>150</v>
      </c>
      <c r="I51" s="65"/>
      <c r="J51" s="65" t="s">
        <v>151</v>
      </c>
      <c r="K51" s="65"/>
      <c r="L51" s="66" t="e">
        <f t="shared" si="1"/>
        <v>#VALUE!</v>
      </c>
      <c r="M51" s="66"/>
      <c r="N51" s="42"/>
      <c r="O51" s="15"/>
    </row>
    <row r="52" spans="1:15" s="1" customFormat="1" ht="14.45" customHeight="1" x14ac:dyDescent="0.2">
      <c r="A52" s="42"/>
      <c r="B52" s="42" t="s">
        <v>47</v>
      </c>
      <c r="C52" s="42"/>
      <c r="D52" s="43">
        <v>14500</v>
      </c>
      <c r="E52" s="43"/>
      <c r="F52" s="43">
        <v>-14500</v>
      </c>
      <c r="G52" s="43"/>
      <c r="H52" s="65" t="s">
        <v>152</v>
      </c>
      <c r="I52" s="65"/>
      <c r="J52" s="65" t="s">
        <v>153</v>
      </c>
      <c r="K52" s="65"/>
      <c r="L52" s="66" t="e">
        <f t="shared" si="1"/>
        <v>#VALUE!</v>
      </c>
      <c r="M52" s="66"/>
      <c r="N52" s="42"/>
      <c r="O52" s="15"/>
    </row>
    <row r="53" spans="1:15" s="1" customFormat="1" ht="14.45" customHeight="1" x14ac:dyDescent="0.2">
      <c r="A53" s="42"/>
      <c r="B53" s="42" t="s">
        <v>48</v>
      </c>
      <c r="C53" s="42"/>
      <c r="D53" s="43">
        <v>40000</v>
      </c>
      <c r="E53" s="43"/>
      <c r="F53" s="43">
        <v>-40000</v>
      </c>
      <c r="G53" s="43"/>
      <c r="H53" s="65" t="s">
        <v>154</v>
      </c>
      <c r="I53" s="65"/>
      <c r="J53" s="65" t="s">
        <v>155</v>
      </c>
      <c r="K53" s="65"/>
      <c r="L53" s="66" t="e">
        <f t="shared" si="1"/>
        <v>#VALUE!</v>
      </c>
      <c r="M53" s="66"/>
      <c r="N53" s="42"/>
      <c r="O53" s="15"/>
    </row>
    <row r="54" spans="1:15" s="1" customFormat="1" ht="14.45" customHeight="1" x14ac:dyDescent="0.2">
      <c r="A54" s="42"/>
      <c r="B54" s="42" t="s">
        <v>49</v>
      </c>
      <c r="C54" s="42"/>
      <c r="D54" s="43">
        <v>4.5</v>
      </c>
      <c r="E54" s="43"/>
      <c r="F54" s="43">
        <v>-4.5</v>
      </c>
      <c r="G54" s="43"/>
      <c r="H54" s="65" t="s">
        <v>156</v>
      </c>
      <c r="I54" s="65"/>
      <c r="J54" s="65" t="s">
        <v>157</v>
      </c>
      <c r="K54" s="65"/>
      <c r="L54" s="66" t="e">
        <f t="shared" si="1"/>
        <v>#VALUE!</v>
      </c>
      <c r="M54" s="66"/>
      <c r="N54" s="42"/>
      <c r="O54" s="15"/>
    </row>
    <row r="55" spans="1:15" s="1" customFormat="1" ht="14.45" customHeight="1" x14ac:dyDescent="0.2">
      <c r="A55" s="42"/>
      <c r="B55" s="42" t="s">
        <v>50</v>
      </c>
      <c r="C55" s="42"/>
      <c r="D55" s="43">
        <v>13.5</v>
      </c>
      <c r="E55" s="43"/>
      <c r="F55" s="43">
        <v>-13.5</v>
      </c>
      <c r="G55" s="43"/>
      <c r="H55" s="65" t="s">
        <v>158</v>
      </c>
      <c r="I55" s="65"/>
      <c r="J55" s="65" t="s">
        <v>159</v>
      </c>
      <c r="K55" s="65"/>
      <c r="L55" s="66" t="e">
        <f t="shared" si="1"/>
        <v>#VALUE!</v>
      </c>
      <c r="M55" s="66"/>
      <c r="N55" s="42"/>
      <c r="O55" s="15"/>
    </row>
    <row r="56" spans="1:15" s="1" customFormat="1" ht="14.45" customHeight="1" x14ac:dyDescent="0.2">
      <c r="A56" s="42"/>
      <c r="B56" s="42" t="s">
        <v>51</v>
      </c>
      <c r="C56" s="42"/>
      <c r="D56" s="43">
        <v>14.5</v>
      </c>
      <c r="E56" s="43"/>
      <c r="F56" s="43">
        <v>-14.5</v>
      </c>
      <c r="G56" s="43"/>
      <c r="H56" s="65" t="s">
        <v>160</v>
      </c>
      <c r="I56" s="65"/>
      <c r="J56" s="65" t="s">
        <v>161</v>
      </c>
      <c r="K56" s="65"/>
      <c r="L56" s="66" t="e">
        <f t="shared" si="1"/>
        <v>#VALUE!</v>
      </c>
      <c r="M56" s="66"/>
      <c r="N56" s="42"/>
      <c r="O56" s="15"/>
    </row>
    <row r="57" spans="1:15" s="1" customFormat="1" ht="14.45" customHeight="1" x14ac:dyDescent="0.2">
      <c r="A57" s="42"/>
      <c r="B57" s="42" t="s">
        <v>3</v>
      </c>
      <c r="C57" s="42"/>
      <c r="D57" s="43">
        <v>45</v>
      </c>
      <c r="E57" s="43"/>
      <c r="F57" s="43">
        <v>-45</v>
      </c>
      <c r="G57" s="43"/>
      <c r="H57" s="65" t="s">
        <v>162</v>
      </c>
      <c r="I57" s="65"/>
      <c r="J57" s="65" t="s">
        <v>163</v>
      </c>
      <c r="K57" s="65"/>
      <c r="L57" s="66" t="e">
        <f t="shared" si="1"/>
        <v>#VALUE!</v>
      </c>
      <c r="M57" s="66"/>
      <c r="N57" s="42"/>
      <c r="O57" s="15"/>
    </row>
    <row r="58" spans="1:15" s="1" customFormat="1" ht="14.45" customHeight="1" x14ac:dyDescent="0.2">
      <c r="A58" s="42"/>
      <c r="B58" s="42" t="s">
        <v>52</v>
      </c>
      <c r="C58" s="42"/>
      <c r="D58" s="43">
        <v>50</v>
      </c>
      <c r="E58" s="43"/>
      <c r="F58" s="43">
        <v>-50</v>
      </c>
      <c r="G58" s="43"/>
      <c r="H58" s="65" t="s">
        <v>164</v>
      </c>
      <c r="I58" s="65"/>
      <c r="J58" s="65" t="s">
        <v>165</v>
      </c>
      <c r="K58" s="65"/>
      <c r="L58" s="66" t="e">
        <f t="shared" si="1"/>
        <v>#VALUE!</v>
      </c>
      <c r="M58" s="66"/>
      <c r="N58" s="42"/>
      <c r="O58" s="15"/>
    </row>
    <row r="59" spans="1:15" s="1" customFormat="1" ht="14.45" customHeight="1" x14ac:dyDescent="0.2">
      <c r="A59" s="42"/>
      <c r="B59" s="42" t="s">
        <v>604</v>
      </c>
      <c r="C59" s="42"/>
      <c r="D59" s="43">
        <v>135</v>
      </c>
      <c r="E59" s="43"/>
      <c r="F59" s="43">
        <v>-135</v>
      </c>
      <c r="G59" s="43"/>
      <c r="H59" s="65" t="s">
        <v>166</v>
      </c>
      <c r="I59" s="65"/>
      <c r="J59" s="65" t="s">
        <v>167</v>
      </c>
      <c r="K59" s="65"/>
      <c r="L59" s="66" t="e">
        <f t="shared" si="1"/>
        <v>#VALUE!</v>
      </c>
      <c r="M59" s="66"/>
      <c r="N59" s="42"/>
      <c r="O59" s="15"/>
    </row>
    <row r="60" spans="1:15" s="1" customFormat="1" ht="14.45" customHeight="1" x14ac:dyDescent="0.2">
      <c r="A60" s="42"/>
      <c r="B60" s="42" t="s">
        <v>53</v>
      </c>
      <c r="C60" s="42"/>
      <c r="D60" s="43">
        <v>145</v>
      </c>
      <c r="E60" s="43"/>
      <c r="F60" s="43">
        <v>-145</v>
      </c>
      <c r="G60" s="43"/>
      <c r="H60" s="65" t="s">
        <v>168</v>
      </c>
      <c r="I60" s="65"/>
      <c r="J60" s="65" t="s">
        <v>169</v>
      </c>
      <c r="K60" s="65"/>
      <c r="L60" s="66" t="e">
        <f t="shared" si="1"/>
        <v>#VALUE!</v>
      </c>
      <c r="M60" s="66"/>
      <c r="N60" s="42"/>
      <c r="O60" s="15"/>
    </row>
    <row r="61" spans="1:15" s="1" customFormat="1" ht="14.45" customHeight="1" x14ac:dyDescent="0.2">
      <c r="A61" s="42"/>
      <c r="B61" s="42" t="s">
        <v>54</v>
      </c>
      <c r="C61" s="42"/>
      <c r="D61" s="43">
        <v>320</v>
      </c>
      <c r="E61" s="43"/>
      <c r="F61" s="43">
        <v>-320</v>
      </c>
      <c r="G61" s="43"/>
      <c r="H61" s="65" t="s">
        <v>170</v>
      </c>
      <c r="I61" s="65"/>
      <c r="J61" s="65" t="s">
        <v>171</v>
      </c>
      <c r="K61" s="65"/>
      <c r="L61" s="66" t="e">
        <f t="shared" si="1"/>
        <v>#VALUE!</v>
      </c>
      <c r="M61" s="66"/>
      <c r="N61" s="42"/>
      <c r="O61" s="15"/>
    </row>
    <row r="62" spans="1:15" s="1" customFormat="1" ht="14.45" customHeight="1" x14ac:dyDescent="0.2">
      <c r="A62" s="42"/>
      <c r="B62" s="42" t="s">
        <v>2</v>
      </c>
      <c r="C62" s="42"/>
      <c r="D62" s="43">
        <v>450</v>
      </c>
      <c r="E62" s="43"/>
      <c r="F62" s="43">
        <v>-450</v>
      </c>
      <c r="G62" s="43"/>
      <c r="H62" s="65" t="s">
        <v>172</v>
      </c>
      <c r="I62" s="65"/>
      <c r="J62" s="65" t="s">
        <v>173</v>
      </c>
      <c r="K62" s="65"/>
      <c r="L62" s="66" t="e">
        <f t="shared" si="1"/>
        <v>#VALUE!</v>
      </c>
      <c r="M62" s="66"/>
      <c r="N62" s="42"/>
      <c r="O62" s="15"/>
    </row>
    <row r="63" spans="1:15" s="1" customFormat="1" ht="14.45" customHeight="1" x14ac:dyDescent="0.2">
      <c r="A63" s="42"/>
      <c r="B63" s="42" t="s">
        <v>55</v>
      </c>
      <c r="C63" s="42"/>
      <c r="D63" s="43">
        <v>500</v>
      </c>
      <c r="E63" s="43"/>
      <c r="F63" s="43">
        <v>-500</v>
      </c>
      <c r="G63" s="43"/>
      <c r="H63" s="65" t="s">
        <v>174</v>
      </c>
      <c r="I63" s="65"/>
      <c r="J63" s="65" t="s">
        <v>175</v>
      </c>
      <c r="K63" s="65"/>
      <c r="L63" s="66" t="e">
        <f t="shared" si="1"/>
        <v>#VALUE!</v>
      </c>
      <c r="M63" s="66"/>
      <c r="N63" s="42"/>
      <c r="O63" s="15"/>
    </row>
    <row r="64" spans="1:15" s="1" customFormat="1" ht="14.45" customHeight="1" x14ac:dyDescent="0.2">
      <c r="A64" s="42"/>
      <c r="B64" s="42" t="s">
        <v>56</v>
      </c>
      <c r="C64" s="42"/>
      <c r="D64" s="43">
        <v>790</v>
      </c>
      <c r="E64" s="43"/>
      <c r="F64" s="43">
        <v>-790</v>
      </c>
      <c r="G64" s="43"/>
      <c r="H64" s="65" t="s">
        <v>176</v>
      </c>
      <c r="I64" s="65"/>
      <c r="J64" s="65" t="s">
        <v>177</v>
      </c>
      <c r="K64" s="65"/>
      <c r="L64" s="66" t="e">
        <f t="shared" si="1"/>
        <v>#VALUE!</v>
      </c>
      <c r="M64" s="66"/>
      <c r="N64" s="42"/>
      <c r="O64" s="15"/>
    </row>
    <row r="65" spans="1:15" s="1" customFormat="1" ht="14.45" customHeight="1" x14ac:dyDescent="0.2">
      <c r="A65" s="42"/>
      <c r="B65" s="42" t="s">
        <v>57</v>
      </c>
      <c r="C65" s="42"/>
      <c r="D65" s="43">
        <v>810</v>
      </c>
      <c r="E65" s="43"/>
      <c r="F65" s="43">
        <v>-810</v>
      </c>
      <c r="G65" s="43"/>
      <c r="H65" s="65" t="s">
        <v>178</v>
      </c>
      <c r="I65" s="65"/>
      <c r="J65" s="65" t="s">
        <v>179</v>
      </c>
      <c r="K65" s="65"/>
      <c r="L65" s="66" t="e">
        <f t="shared" si="1"/>
        <v>#VALUE!</v>
      </c>
      <c r="M65" s="66"/>
      <c r="N65" s="42"/>
      <c r="O65" s="15"/>
    </row>
    <row r="66" spans="1:15" s="1" customFormat="1" ht="14.45" customHeight="1" x14ac:dyDescent="0.2">
      <c r="A66" s="42"/>
      <c r="B66" s="42" t="s">
        <v>58</v>
      </c>
      <c r="C66" s="42"/>
      <c r="D66" s="43">
        <v>1350</v>
      </c>
      <c r="E66" s="43"/>
      <c r="F66" s="43">
        <v>-1350</v>
      </c>
      <c r="G66" s="43"/>
      <c r="H66" s="65" t="s">
        <v>180</v>
      </c>
      <c r="I66" s="65"/>
      <c r="J66" s="65" t="s">
        <v>181</v>
      </c>
      <c r="K66" s="65"/>
      <c r="L66" s="66" t="e">
        <f t="shared" si="1"/>
        <v>#VALUE!</v>
      </c>
      <c r="M66" s="66"/>
      <c r="N66" s="42"/>
      <c r="O66" s="15"/>
    </row>
    <row r="67" spans="1:15" s="1" customFormat="1" ht="14.45" customHeight="1" x14ac:dyDescent="0.2">
      <c r="A67" s="42"/>
      <c r="B67" s="42" t="s">
        <v>59</v>
      </c>
      <c r="C67" s="42"/>
      <c r="D67" s="43">
        <v>1450</v>
      </c>
      <c r="E67" s="43"/>
      <c r="F67" s="43">
        <v>-1450</v>
      </c>
      <c r="G67" s="43"/>
      <c r="H67" s="65" t="s">
        <v>182</v>
      </c>
      <c r="I67" s="65"/>
      <c r="J67" s="65" t="s">
        <v>183</v>
      </c>
      <c r="K67" s="65"/>
      <c r="L67" s="66" t="e">
        <f t="shared" si="1"/>
        <v>#VALUE!</v>
      </c>
      <c r="M67" s="66"/>
      <c r="N67" s="42"/>
      <c r="O67" s="15"/>
    </row>
    <row r="68" spans="1:15" s="1" customFormat="1" ht="14.45" customHeight="1" x14ac:dyDescent="0.2">
      <c r="A68" s="42"/>
      <c r="B68" s="42" t="s">
        <v>60</v>
      </c>
      <c r="C68" s="42"/>
      <c r="D68" s="43">
        <v>2500</v>
      </c>
      <c r="E68" s="43"/>
      <c r="F68" s="43">
        <v>-2500</v>
      </c>
      <c r="G68" s="43"/>
      <c r="H68" s="65" t="s">
        <v>184</v>
      </c>
      <c r="I68" s="65"/>
      <c r="J68" s="65" t="s">
        <v>185</v>
      </c>
      <c r="K68" s="65"/>
      <c r="L68" s="66" t="e">
        <f t="shared" si="1"/>
        <v>#VALUE!</v>
      </c>
      <c r="M68" s="66"/>
      <c r="N68" s="42"/>
      <c r="O68" s="15"/>
    </row>
    <row r="69" spans="1:15" s="1" customFormat="1" ht="14.45" customHeight="1" x14ac:dyDescent="0.2">
      <c r="A69" s="42"/>
      <c r="B69" s="42" t="s">
        <v>61</v>
      </c>
      <c r="C69" s="42"/>
      <c r="D69" s="43">
        <v>2600</v>
      </c>
      <c r="E69" s="43"/>
      <c r="F69" s="43">
        <v>-2600</v>
      </c>
      <c r="G69" s="43"/>
      <c r="H69" s="65" t="s">
        <v>186</v>
      </c>
      <c r="I69" s="65"/>
      <c r="J69" s="65" t="s">
        <v>187</v>
      </c>
      <c r="K69" s="65"/>
      <c r="L69" s="66" t="e">
        <f t="shared" si="1"/>
        <v>#VALUE!</v>
      </c>
      <c r="M69" s="66"/>
      <c r="N69" s="42"/>
      <c r="O69" s="15"/>
    </row>
    <row r="70" spans="1:15" s="1" customFormat="1" ht="14.45" customHeight="1" x14ac:dyDescent="0.2">
      <c r="A70" s="42"/>
      <c r="B70" s="42" t="s">
        <v>62</v>
      </c>
      <c r="C70" s="42"/>
      <c r="D70" s="43">
        <v>4500</v>
      </c>
      <c r="E70" s="43"/>
      <c r="F70" s="43">
        <v>-4500</v>
      </c>
      <c r="G70" s="43"/>
      <c r="H70" s="65" t="s">
        <v>188</v>
      </c>
      <c r="I70" s="65"/>
      <c r="J70" s="65" t="s">
        <v>189</v>
      </c>
      <c r="K70" s="65"/>
      <c r="L70" s="66" t="e">
        <f t="shared" si="1"/>
        <v>#VALUE!</v>
      </c>
      <c r="M70" s="66"/>
      <c r="N70" s="42"/>
      <c r="O70" s="15"/>
    </row>
    <row r="71" spans="1:15" s="1" customFormat="1" ht="12.75" customHeight="1" x14ac:dyDescent="0.2">
      <c r="A71" s="39" t="s">
        <v>12</v>
      </c>
      <c r="B71" s="45" t="s">
        <v>0</v>
      </c>
      <c r="C71" s="45"/>
      <c r="D71" s="55" t="s">
        <v>63</v>
      </c>
      <c r="E71" s="56"/>
      <c r="F71" s="45" t="s">
        <v>64</v>
      </c>
      <c r="G71" s="45"/>
      <c r="H71" s="45" t="s">
        <v>65</v>
      </c>
      <c r="I71" s="45"/>
      <c r="J71" s="45" t="s">
        <v>66</v>
      </c>
      <c r="K71" s="45"/>
      <c r="L71" s="45" t="s">
        <v>18</v>
      </c>
      <c r="M71" s="45"/>
      <c r="N71" s="45" t="s">
        <v>13</v>
      </c>
      <c r="O71" s="15"/>
    </row>
    <row r="72" spans="1:15" s="1" customFormat="1" x14ac:dyDescent="0.2">
      <c r="A72" s="40"/>
      <c r="B72" s="45"/>
      <c r="C72" s="45"/>
      <c r="D72" s="57"/>
      <c r="E72" s="58"/>
      <c r="F72" s="45"/>
      <c r="G72" s="45"/>
      <c r="H72" s="45"/>
      <c r="I72" s="45"/>
      <c r="J72" s="45"/>
      <c r="K72" s="45"/>
      <c r="L72" s="45"/>
      <c r="M72" s="45"/>
      <c r="N72" s="45"/>
      <c r="O72" s="15"/>
    </row>
    <row r="73" spans="1:15" s="1" customFormat="1" ht="37.5" customHeight="1" x14ac:dyDescent="0.2">
      <c r="A73" s="41"/>
      <c r="B73" s="45"/>
      <c r="C73" s="45"/>
      <c r="D73" s="59"/>
      <c r="E73" s="60"/>
      <c r="F73" s="45"/>
      <c r="G73" s="45"/>
      <c r="H73" s="45"/>
      <c r="I73" s="45"/>
      <c r="J73" s="45"/>
      <c r="K73" s="45"/>
      <c r="L73" s="45"/>
      <c r="M73" s="45"/>
      <c r="N73" s="45"/>
      <c r="O73" s="15"/>
    </row>
    <row r="74" spans="1:15" s="1" customFormat="1" ht="12.75" customHeight="1" x14ac:dyDescent="0.2">
      <c r="A74" s="51">
        <v>2</v>
      </c>
      <c r="B74" s="42" t="s">
        <v>35</v>
      </c>
      <c r="C74" s="42"/>
      <c r="D74" s="43">
        <v>4.5</v>
      </c>
      <c r="E74" s="43"/>
      <c r="F74" s="43">
        <v>-4.5</v>
      </c>
      <c r="G74" s="43"/>
      <c r="H74" s="65" t="s">
        <v>190</v>
      </c>
      <c r="I74" s="65"/>
      <c r="J74" s="65" t="s">
        <v>191</v>
      </c>
      <c r="K74" s="65"/>
      <c r="L74" s="66" t="e">
        <f>((H74-J74)/(D74-F74)-1)*100</f>
        <v>#VALUE!</v>
      </c>
      <c r="M74" s="66"/>
      <c r="N74" s="42" t="s">
        <v>14</v>
      </c>
      <c r="O74" s="15"/>
    </row>
    <row r="75" spans="1:15" s="1" customFormat="1" ht="12.75" customHeight="1" x14ac:dyDescent="0.2">
      <c r="A75" s="52"/>
      <c r="B75" s="42" t="s">
        <v>36</v>
      </c>
      <c r="C75" s="42"/>
      <c r="D75" s="43">
        <v>13.5</v>
      </c>
      <c r="E75" s="43"/>
      <c r="F75" s="43">
        <v>-13.5</v>
      </c>
      <c r="G75" s="43"/>
      <c r="H75" s="65" t="s">
        <v>192</v>
      </c>
      <c r="I75" s="65"/>
      <c r="J75" s="65" t="s">
        <v>193</v>
      </c>
      <c r="K75" s="65"/>
      <c r="L75" s="66" t="e">
        <f t="shared" ref="L75:L107" si="2">((H75-J75)/(D75-F75)-1)*100</f>
        <v>#VALUE!</v>
      </c>
      <c r="M75" s="66"/>
      <c r="N75" s="42"/>
      <c r="O75" s="15"/>
    </row>
    <row r="76" spans="1:15" s="1" customFormat="1" ht="12.75" customHeight="1" x14ac:dyDescent="0.2">
      <c r="A76" s="52"/>
      <c r="B76" s="61" t="s">
        <v>37</v>
      </c>
      <c r="C76" s="62"/>
      <c r="D76" s="43">
        <v>14.5</v>
      </c>
      <c r="E76" s="43"/>
      <c r="F76" s="43">
        <v>-14.5</v>
      </c>
      <c r="G76" s="43"/>
      <c r="H76" s="65" t="s">
        <v>194</v>
      </c>
      <c r="I76" s="65"/>
      <c r="J76" s="65" t="s">
        <v>195</v>
      </c>
      <c r="K76" s="65"/>
      <c r="L76" s="66" t="e">
        <f t="shared" si="2"/>
        <v>#VALUE!</v>
      </c>
      <c r="M76" s="66"/>
      <c r="N76" s="42"/>
      <c r="O76" s="15"/>
    </row>
    <row r="77" spans="1:15" s="1" customFormat="1" ht="12.75" customHeight="1" x14ac:dyDescent="0.2">
      <c r="A77" s="52"/>
      <c r="B77" s="61" t="s">
        <v>5</v>
      </c>
      <c r="C77" s="62"/>
      <c r="D77" s="43">
        <v>45</v>
      </c>
      <c r="E77" s="43"/>
      <c r="F77" s="43">
        <v>-45</v>
      </c>
      <c r="G77" s="43"/>
      <c r="H77" s="65" t="s">
        <v>196</v>
      </c>
      <c r="I77" s="65"/>
      <c r="J77" s="65" t="s">
        <v>197</v>
      </c>
      <c r="K77" s="65"/>
      <c r="L77" s="66" t="e">
        <f t="shared" si="2"/>
        <v>#VALUE!</v>
      </c>
      <c r="M77" s="66"/>
      <c r="N77" s="51" t="s">
        <v>67</v>
      </c>
      <c r="O77" s="15"/>
    </row>
    <row r="78" spans="1:15" s="1" customFormat="1" ht="12.75" customHeight="1" x14ac:dyDescent="0.2">
      <c r="A78" s="52"/>
      <c r="B78" s="42" t="s">
        <v>38</v>
      </c>
      <c r="C78" s="42"/>
      <c r="D78" s="43">
        <v>50</v>
      </c>
      <c r="E78" s="43"/>
      <c r="F78" s="43">
        <v>-50</v>
      </c>
      <c r="G78" s="43"/>
      <c r="H78" s="65" t="s">
        <v>198</v>
      </c>
      <c r="I78" s="65"/>
      <c r="J78" s="65" t="s">
        <v>199</v>
      </c>
      <c r="K78" s="65"/>
      <c r="L78" s="66" t="e">
        <f t="shared" si="2"/>
        <v>#VALUE!</v>
      </c>
      <c r="M78" s="66"/>
      <c r="N78" s="52"/>
      <c r="O78" s="15"/>
    </row>
    <row r="79" spans="1:15" s="1" customFormat="1" ht="12.75" customHeight="1" x14ac:dyDescent="0.2">
      <c r="A79" s="52"/>
      <c r="B79" s="42" t="s">
        <v>90</v>
      </c>
      <c r="C79" s="42"/>
      <c r="D79" s="43">
        <v>135</v>
      </c>
      <c r="E79" s="43"/>
      <c r="F79" s="43">
        <v>-135</v>
      </c>
      <c r="G79" s="43"/>
      <c r="H79" s="65" t="s">
        <v>200</v>
      </c>
      <c r="I79" s="65"/>
      <c r="J79" s="65" t="s">
        <v>201</v>
      </c>
      <c r="K79" s="65"/>
      <c r="L79" s="66" t="e">
        <f t="shared" si="2"/>
        <v>#VALUE!</v>
      </c>
      <c r="M79" s="66"/>
      <c r="N79" s="52"/>
      <c r="O79" s="15"/>
    </row>
    <row r="80" spans="1:15" s="1" customFormat="1" ht="12.75" customHeight="1" x14ac:dyDescent="0.2">
      <c r="A80" s="52"/>
      <c r="B80" s="42" t="s">
        <v>39</v>
      </c>
      <c r="C80" s="42"/>
      <c r="D80" s="43">
        <v>145</v>
      </c>
      <c r="E80" s="43"/>
      <c r="F80" s="43">
        <v>-145</v>
      </c>
      <c r="G80" s="43"/>
      <c r="H80" s="65" t="s">
        <v>202</v>
      </c>
      <c r="I80" s="65"/>
      <c r="J80" s="65" t="s">
        <v>203</v>
      </c>
      <c r="K80" s="65"/>
      <c r="L80" s="66" t="e">
        <f t="shared" si="2"/>
        <v>#VALUE!</v>
      </c>
      <c r="M80" s="66"/>
      <c r="N80" s="52"/>
      <c r="O80" s="15"/>
    </row>
    <row r="81" spans="1:15" s="1" customFormat="1" ht="12.75" customHeight="1" x14ac:dyDescent="0.2">
      <c r="A81" s="52"/>
      <c r="B81" s="42" t="s">
        <v>40</v>
      </c>
      <c r="C81" s="42"/>
      <c r="D81" s="43">
        <v>320</v>
      </c>
      <c r="E81" s="43"/>
      <c r="F81" s="43">
        <v>-320</v>
      </c>
      <c r="G81" s="43"/>
      <c r="H81" s="65" t="s">
        <v>204</v>
      </c>
      <c r="I81" s="65"/>
      <c r="J81" s="65" t="s">
        <v>205</v>
      </c>
      <c r="K81" s="65"/>
      <c r="L81" s="66" t="e">
        <f t="shared" si="2"/>
        <v>#VALUE!</v>
      </c>
      <c r="M81" s="66"/>
      <c r="N81" s="52"/>
      <c r="O81" s="15"/>
    </row>
    <row r="82" spans="1:15" s="1" customFormat="1" ht="12.75" customHeight="1" x14ac:dyDescent="0.2">
      <c r="A82" s="52"/>
      <c r="B82" s="42" t="s">
        <v>4</v>
      </c>
      <c r="C82" s="42"/>
      <c r="D82" s="43">
        <v>450</v>
      </c>
      <c r="E82" s="43"/>
      <c r="F82" s="43">
        <v>-450</v>
      </c>
      <c r="G82" s="43"/>
      <c r="H82" s="65" t="s">
        <v>206</v>
      </c>
      <c r="I82" s="65"/>
      <c r="J82" s="65" t="s">
        <v>207</v>
      </c>
      <c r="K82" s="65"/>
      <c r="L82" s="66" t="e">
        <f t="shared" si="2"/>
        <v>#VALUE!</v>
      </c>
      <c r="M82" s="66"/>
      <c r="N82" s="52"/>
      <c r="O82" s="15"/>
    </row>
    <row r="83" spans="1:15" s="1" customFormat="1" ht="12.75" customHeight="1" x14ac:dyDescent="0.2">
      <c r="A83" s="52"/>
      <c r="B83" s="42" t="s">
        <v>41</v>
      </c>
      <c r="C83" s="42"/>
      <c r="D83" s="43">
        <v>500</v>
      </c>
      <c r="E83" s="43"/>
      <c r="F83" s="43">
        <v>-500</v>
      </c>
      <c r="G83" s="43"/>
      <c r="H83" s="65" t="s">
        <v>208</v>
      </c>
      <c r="I83" s="65"/>
      <c r="J83" s="65" t="s">
        <v>209</v>
      </c>
      <c r="K83" s="65"/>
      <c r="L83" s="66" t="e">
        <f t="shared" si="2"/>
        <v>#VALUE!</v>
      </c>
      <c r="M83" s="66"/>
      <c r="N83" s="52"/>
      <c r="O83" s="15"/>
    </row>
    <row r="84" spans="1:15" s="1" customFormat="1" ht="12.75" customHeight="1" x14ac:dyDescent="0.2">
      <c r="A84" s="52"/>
      <c r="B84" s="42" t="s">
        <v>42</v>
      </c>
      <c r="C84" s="42"/>
      <c r="D84" s="43">
        <v>1350</v>
      </c>
      <c r="E84" s="43"/>
      <c r="F84" s="43">
        <v>-1350</v>
      </c>
      <c r="G84" s="43"/>
      <c r="H84" s="65" t="s">
        <v>210</v>
      </c>
      <c r="I84" s="65"/>
      <c r="J84" s="65" t="s">
        <v>211</v>
      </c>
      <c r="K84" s="65"/>
      <c r="L84" s="66" t="e">
        <f t="shared" si="2"/>
        <v>#VALUE!</v>
      </c>
      <c r="M84" s="66"/>
      <c r="N84" s="52"/>
      <c r="O84" s="15"/>
    </row>
    <row r="85" spans="1:15" s="1" customFormat="1" ht="12.75" customHeight="1" x14ac:dyDescent="0.2">
      <c r="A85" s="52"/>
      <c r="B85" s="42" t="s">
        <v>43</v>
      </c>
      <c r="C85" s="42"/>
      <c r="D85" s="43">
        <v>1450</v>
      </c>
      <c r="E85" s="43"/>
      <c r="F85" s="43">
        <v>-1450</v>
      </c>
      <c r="G85" s="43"/>
      <c r="H85" s="65" t="s">
        <v>212</v>
      </c>
      <c r="I85" s="65"/>
      <c r="J85" s="65" t="s">
        <v>213</v>
      </c>
      <c r="K85" s="65"/>
      <c r="L85" s="66" t="e">
        <f t="shared" si="2"/>
        <v>#VALUE!</v>
      </c>
      <c r="M85" s="66"/>
      <c r="N85" s="52"/>
      <c r="O85" s="15"/>
    </row>
    <row r="86" spans="1:15" s="1" customFormat="1" ht="12.75" customHeight="1" x14ac:dyDescent="0.2">
      <c r="A86" s="52"/>
      <c r="B86" s="42" t="s">
        <v>44</v>
      </c>
      <c r="C86" s="42"/>
      <c r="D86" s="43">
        <v>4500</v>
      </c>
      <c r="E86" s="43"/>
      <c r="F86" s="43">
        <v>-4500</v>
      </c>
      <c r="G86" s="43"/>
      <c r="H86" s="65" t="s">
        <v>214</v>
      </c>
      <c r="I86" s="65"/>
      <c r="J86" s="65" t="s">
        <v>215</v>
      </c>
      <c r="K86" s="65"/>
      <c r="L86" s="66" t="e">
        <f t="shared" si="2"/>
        <v>#VALUE!</v>
      </c>
      <c r="M86" s="66"/>
      <c r="N86" s="52"/>
      <c r="O86" s="15"/>
    </row>
    <row r="87" spans="1:15" s="1" customFormat="1" ht="12.75" customHeight="1" x14ac:dyDescent="0.2">
      <c r="A87" s="52"/>
      <c r="B87" s="42" t="s">
        <v>45</v>
      </c>
      <c r="C87" s="42"/>
      <c r="D87" s="43">
        <v>5000</v>
      </c>
      <c r="E87" s="43"/>
      <c r="F87" s="43">
        <v>-5000</v>
      </c>
      <c r="G87" s="43"/>
      <c r="H87" s="65" t="s">
        <v>216</v>
      </c>
      <c r="I87" s="65"/>
      <c r="J87" s="65" t="s">
        <v>217</v>
      </c>
      <c r="K87" s="65"/>
      <c r="L87" s="66" t="e">
        <f t="shared" si="2"/>
        <v>#VALUE!</v>
      </c>
      <c r="M87" s="66"/>
      <c r="N87" s="52"/>
      <c r="O87" s="15"/>
    </row>
    <row r="88" spans="1:15" s="1" customFormat="1" ht="12.75" customHeight="1" x14ac:dyDescent="0.2">
      <c r="A88" s="52"/>
      <c r="B88" s="42" t="s">
        <v>46</v>
      </c>
      <c r="C88" s="42"/>
      <c r="D88" s="43">
        <v>13500</v>
      </c>
      <c r="E88" s="43"/>
      <c r="F88" s="43">
        <v>-13500</v>
      </c>
      <c r="G88" s="43"/>
      <c r="H88" s="65" t="s">
        <v>218</v>
      </c>
      <c r="I88" s="65"/>
      <c r="J88" s="65" t="s">
        <v>219</v>
      </c>
      <c r="K88" s="65"/>
      <c r="L88" s="66" t="e">
        <f t="shared" si="2"/>
        <v>#VALUE!</v>
      </c>
      <c r="M88" s="66"/>
      <c r="N88" s="52"/>
      <c r="O88" s="15"/>
    </row>
    <row r="89" spans="1:15" s="1" customFormat="1" ht="12.75" customHeight="1" x14ac:dyDescent="0.2">
      <c r="A89" s="52"/>
      <c r="B89" s="42" t="s">
        <v>47</v>
      </c>
      <c r="C89" s="42"/>
      <c r="D89" s="43">
        <v>14500</v>
      </c>
      <c r="E89" s="43"/>
      <c r="F89" s="43">
        <v>-14500</v>
      </c>
      <c r="G89" s="43"/>
      <c r="H89" s="65" t="s">
        <v>220</v>
      </c>
      <c r="I89" s="65"/>
      <c r="J89" s="65" t="s">
        <v>221</v>
      </c>
      <c r="K89" s="65"/>
      <c r="L89" s="66" t="e">
        <f t="shared" si="2"/>
        <v>#VALUE!</v>
      </c>
      <c r="M89" s="66"/>
      <c r="N89" s="52"/>
      <c r="O89" s="15"/>
    </row>
    <row r="90" spans="1:15" s="1" customFormat="1" ht="12.75" customHeight="1" x14ac:dyDescent="0.2">
      <c r="A90" s="52"/>
      <c r="B90" s="42" t="s">
        <v>48</v>
      </c>
      <c r="C90" s="42"/>
      <c r="D90" s="43">
        <v>40000</v>
      </c>
      <c r="E90" s="43"/>
      <c r="F90" s="43">
        <v>-40000</v>
      </c>
      <c r="G90" s="43"/>
      <c r="H90" s="65" t="s">
        <v>222</v>
      </c>
      <c r="I90" s="65"/>
      <c r="J90" s="65" t="s">
        <v>223</v>
      </c>
      <c r="K90" s="65"/>
      <c r="L90" s="66" t="e">
        <f t="shared" si="2"/>
        <v>#VALUE!</v>
      </c>
      <c r="M90" s="66"/>
      <c r="N90" s="52"/>
      <c r="O90" s="15"/>
    </row>
    <row r="91" spans="1:15" s="1" customFormat="1" ht="12.75" customHeight="1" x14ac:dyDescent="0.2">
      <c r="A91" s="52"/>
      <c r="B91" s="61" t="s">
        <v>49</v>
      </c>
      <c r="C91" s="62"/>
      <c r="D91" s="43">
        <v>4.5</v>
      </c>
      <c r="E91" s="43"/>
      <c r="F91" s="43">
        <v>-4.5</v>
      </c>
      <c r="G91" s="43"/>
      <c r="H91" s="65" t="s">
        <v>224</v>
      </c>
      <c r="I91" s="65"/>
      <c r="J91" s="65" t="s">
        <v>225</v>
      </c>
      <c r="K91" s="65"/>
      <c r="L91" s="66" t="e">
        <f t="shared" si="2"/>
        <v>#VALUE!</v>
      </c>
      <c r="M91" s="66"/>
      <c r="N91" s="52"/>
      <c r="O91" s="15"/>
    </row>
    <row r="92" spans="1:15" s="1" customFormat="1" ht="12.75" customHeight="1" x14ac:dyDescent="0.2">
      <c r="A92" s="52"/>
      <c r="B92" s="61" t="s">
        <v>50</v>
      </c>
      <c r="C92" s="62"/>
      <c r="D92" s="43">
        <v>13.5</v>
      </c>
      <c r="E92" s="43"/>
      <c r="F92" s="43">
        <v>-13.5</v>
      </c>
      <c r="G92" s="43"/>
      <c r="H92" s="65" t="s">
        <v>226</v>
      </c>
      <c r="I92" s="65"/>
      <c r="J92" s="65" t="s">
        <v>227</v>
      </c>
      <c r="K92" s="65"/>
      <c r="L92" s="66" t="e">
        <f t="shared" si="2"/>
        <v>#VALUE!</v>
      </c>
      <c r="M92" s="66"/>
      <c r="N92" s="52"/>
      <c r="O92" s="15"/>
    </row>
    <row r="93" spans="1:15" s="1" customFormat="1" ht="12.75" customHeight="1" x14ac:dyDescent="0.2">
      <c r="A93" s="52"/>
      <c r="B93" s="61" t="s">
        <v>51</v>
      </c>
      <c r="C93" s="62"/>
      <c r="D93" s="43">
        <v>14.5</v>
      </c>
      <c r="E93" s="43"/>
      <c r="F93" s="43">
        <v>-14.5</v>
      </c>
      <c r="G93" s="43"/>
      <c r="H93" s="65" t="s">
        <v>228</v>
      </c>
      <c r="I93" s="65"/>
      <c r="J93" s="65" t="s">
        <v>229</v>
      </c>
      <c r="K93" s="65"/>
      <c r="L93" s="66" t="e">
        <f t="shared" si="2"/>
        <v>#VALUE!</v>
      </c>
      <c r="M93" s="66"/>
      <c r="N93" s="52"/>
      <c r="O93" s="15"/>
    </row>
    <row r="94" spans="1:15" s="1" customFormat="1" ht="12.75" customHeight="1" x14ac:dyDescent="0.2">
      <c r="A94" s="52"/>
      <c r="B94" s="61" t="s">
        <v>3</v>
      </c>
      <c r="C94" s="62"/>
      <c r="D94" s="43">
        <v>45</v>
      </c>
      <c r="E94" s="43"/>
      <c r="F94" s="43">
        <v>-45</v>
      </c>
      <c r="G94" s="43"/>
      <c r="H94" s="65" t="s">
        <v>230</v>
      </c>
      <c r="I94" s="65"/>
      <c r="J94" s="65" t="s">
        <v>231</v>
      </c>
      <c r="K94" s="65"/>
      <c r="L94" s="66" t="e">
        <f t="shared" si="2"/>
        <v>#VALUE!</v>
      </c>
      <c r="M94" s="66"/>
      <c r="N94" s="52"/>
      <c r="O94" s="15"/>
    </row>
    <row r="95" spans="1:15" s="1" customFormat="1" ht="12.75" customHeight="1" x14ac:dyDescent="0.2">
      <c r="A95" s="52"/>
      <c r="B95" s="61" t="s">
        <v>52</v>
      </c>
      <c r="C95" s="62"/>
      <c r="D95" s="43">
        <v>50</v>
      </c>
      <c r="E95" s="43"/>
      <c r="F95" s="43">
        <v>-50</v>
      </c>
      <c r="G95" s="43"/>
      <c r="H95" s="65" t="s">
        <v>232</v>
      </c>
      <c r="I95" s="65"/>
      <c r="J95" s="65" t="s">
        <v>233</v>
      </c>
      <c r="K95" s="65"/>
      <c r="L95" s="66" t="e">
        <f t="shared" si="2"/>
        <v>#VALUE!</v>
      </c>
      <c r="M95" s="66"/>
      <c r="N95" s="52"/>
      <c r="O95" s="15"/>
    </row>
    <row r="96" spans="1:15" s="1" customFormat="1" ht="12.75" customHeight="1" x14ac:dyDescent="0.2">
      <c r="A96" s="52"/>
      <c r="B96" s="61" t="s">
        <v>604</v>
      </c>
      <c r="C96" s="62"/>
      <c r="D96" s="43">
        <v>135</v>
      </c>
      <c r="E96" s="43"/>
      <c r="F96" s="43">
        <v>-135</v>
      </c>
      <c r="G96" s="43"/>
      <c r="H96" s="65" t="s">
        <v>234</v>
      </c>
      <c r="I96" s="65"/>
      <c r="J96" s="65" t="s">
        <v>235</v>
      </c>
      <c r="K96" s="65"/>
      <c r="L96" s="66" t="e">
        <f t="shared" si="2"/>
        <v>#VALUE!</v>
      </c>
      <c r="M96" s="66"/>
      <c r="N96" s="52"/>
      <c r="O96" s="15"/>
    </row>
    <row r="97" spans="1:15" s="1" customFormat="1" ht="12.75" customHeight="1" x14ac:dyDescent="0.2">
      <c r="A97" s="52"/>
      <c r="B97" s="61" t="s">
        <v>53</v>
      </c>
      <c r="C97" s="62"/>
      <c r="D97" s="43">
        <v>145</v>
      </c>
      <c r="E97" s="43"/>
      <c r="F97" s="43">
        <v>-145</v>
      </c>
      <c r="G97" s="43"/>
      <c r="H97" s="65" t="s">
        <v>236</v>
      </c>
      <c r="I97" s="65"/>
      <c r="J97" s="65" t="s">
        <v>237</v>
      </c>
      <c r="K97" s="65"/>
      <c r="L97" s="66" t="e">
        <f t="shared" si="2"/>
        <v>#VALUE!</v>
      </c>
      <c r="M97" s="66"/>
      <c r="N97" s="52"/>
      <c r="O97" s="15"/>
    </row>
    <row r="98" spans="1:15" s="1" customFormat="1" ht="12.75" customHeight="1" x14ac:dyDescent="0.2">
      <c r="A98" s="52"/>
      <c r="B98" s="61" t="s">
        <v>54</v>
      </c>
      <c r="C98" s="62"/>
      <c r="D98" s="43">
        <v>320</v>
      </c>
      <c r="E98" s="43"/>
      <c r="F98" s="43">
        <v>-320</v>
      </c>
      <c r="G98" s="43"/>
      <c r="H98" s="65" t="s">
        <v>238</v>
      </c>
      <c r="I98" s="65"/>
      <c r="J98" s="65" t="s">
        <v>239</v>
      </c>
      <c r="K98" s="65"/>
      <c r="L98" s="66" t="e">
        <f t="shared" si="2"/>
        <v>#VALUE!</v>
      </c>
      <c r="M98" s="66"/>
      <c r="N98" s="52"/>
      <c r="O98" s="15"/>
    </row>
    <row r="99" spans="1:15" s="1" customFormat="1" ht="12.75" customHeight="1" x14ac:dyDescent="0.2">
      <c r="A99" s="52"/>
      <c r="B99" s="61" t="s">
        <v>2</v>
      </c>
      <c r="C99" s="62"/>
      <c r="D99" s="63">
        <v>450</v>
      </c>
      <c r="E99" s="64"/>
      <c r="F99" s="63">
        <v>-450</v>
      </c>
      <c r="G99" s="64"/>
      <c r="H99" s="65" t="s">
        <v>240</v>
      </c>
      <c r="I99" s="65"/>
      <c r="J99" s="65" t="s">
        <v>241</v>
      </c>
      <c r="K99" s="65"/>
      <c r="L99" s="66" t="e">
        <f t="shared" si="2"/>
        <v>#VALUE!</v>
      </c>
      <c r="M99" s="66"/>
      <c r="N99" s="52"/>
      <c r="O99" s="15"/>
    </row>
    <row r="100" spans="1:15" s="1" customFormat="1" ht="12.75" customHeight="1" x14ac:dyDescent="0.2">
      <c r="A100" s="52"/>
      <c r="B100" s="61" t="s">
        <v>55</v>
      </c>
      <c r="C100" s="62"/>
      <c r="D100" s="63">
        <v>500</v>
      </c>
      <c r="E100" s="64"/>
      <c r="F100" s="63">
        <v>-500</v>
      </c>
      <c r="G100" s="64"/>
      <c r="H100" s="65" t="s">
        <v>242</v>
      </c>
      <c r="I100" s="65"/>
      <c r="J100" s="65" t="s">
        <v>243</v>
      </c>
      <c r="K100" s="65"/>
      <c r="L100" s="66" t="e">
        <f t="shared" si="2"/>
        <v>#VALUE!</v>
      </c>
      <c r="M100" s="66"/>
      <c r="N100" s="52"/>
      <c r="O100" s="15"/>
    </row>
    <row r="101" spans="1:15" s="1" customFormat="1" ht="12.75" customHeight="1" x14ac:dyDescent="0.2">
      <c r="A101" s="52"/>
      <c r="B101" s="61" t="s">
        <v>56</v>
      </c>
      <c r="C101" s="62"/>
      <c r="D101" s="63">
        <v>790</v>
      </c>
      <c r="E101" s="64"/>
      <c r="F101" s="63">
        <v>-790</v>
      </c>
      <c r="G101" s="64"/>
      <c r="H101" s="65" t="s">
        <v>244</v>
      </c>
      <c r="I101" s="65"/>
      <c r="J101" s="65" t="s">
        <v>245</v>
      </c>
      <c r="K101" s="65"/>
      <c r="L101" s="66" t="e">
        <f t="shared" si="2"/>
        <v>#VALUE!</v>
      </c>
      <c r="M101" s="66"/>
      <c r="N101" s="52"/>
      <c r="O101" s="15"/>
    </row>
    <row r="102" spans="1:15" s="1" customFormat="1" ht="12.75" customHeight="1" x14ac:dyDescent="0.2">
      <c r="A102" s="52"/>
      <c r="B102" s="61" t="s">
        <v>57</v>
      </c>
      <c r="C102" s="62"/>
      <c r="D102" s="63">
        <v>810</v>
      </c>
      <c r="E102" s="64"/>
      <c r="F102" s="63">
        <v>-810</v>
      </c>
      <c r="G102" s="64"/>
      <c r="H102" s="65" t="s">
        <v>246</v>
      </c>
      <c r="I102" s="65"/>
      <c r="J102" s="65" t="s">
        <v>247</v>
      </c>
      <c r="K102" s="65"/>
      <c r="L102" s="66" t="e">
        <f t="shared" si="2"/>
        <v>#VALUE!</v>
      </c>
      <c r="M102" s="66"/>
      <c r="N102" s="52"/>
      <c r="O102" s="15"/>
    </row>
    <row r="103" spans="1:15" s="1" customFormat="1" ht="12.75" customHeight="1" x14ac:dyDescent="0.2">
      <c r="A103" s="52"/>
      <c r="B103" s="61" t="s">
        <v>58</v>
      </c>
      <c r="C103" s="62"/>
      <c r="D103" s="63">
        <v>1350</v>
      </c>
      <c r="E103" s="64"/>
      <c r="F103" s="63">
        <v>-1350</v>
      </c>
      <c r="G103" s="64"/>
      <c r="H103" s="65" t="s">
        <v>248</v>
      </c>
      <c r="I103" s="65"/>
      <c r="J103" s="65" t="s">
        <v>249</v>
      </c>
      <c r="K103" s="65"/>
      <c r="L103" s="66" t="e">
        <f t="shared" si="2"/>
        <v>#VALUE!</v>
      </c>
      <c r="M103" s="66"/>
      <c r="N103" s="52"/>
      <c r="O103" s="15"/>
    </row>
    <row r="104" spans="1:15" s="1" customFormat="1" ht="12.75" customHeight="1" x14ac:dyDescent="0.2">
      <c r="A104" s="52"/>
      <c r="B104" s="61" t="s">
        <v>59</v>
      </c>
      <c r="C104" s="62"/>
      <c r="D104" s="63">
        <v>1450</v>
      </c>
      <c r="E104" s="64"/>
      <c r="F104" s="63">
        <v>-1450</v>
      </c>
      <c r="G104" s="64"/>
      <c r="H104" s="65" t="s">
        <v>250</v>
      </c>
      <c r="I104" s="65"/>
      <c r="J104" s="65" t="s">
        <v>251</v>
      </c>
      <c r="K104" s="65"/>
      <c r="L104" s="66" t="e">
        <f t="shared" si="2"/>
        <v>#VALUE!</v>
      </c>
      <c r="M104" s="66"/>
      <c r="N104" s="52"/>
      <c r="O104" s="15"/>
    </row>
    <row r="105" spans="1:15" s="1" customFormat="1" ht="12.75" customHeight="1" x14ac:dyDescent="0.2">
      <c r="A105" s="52"/>
      <c r="B105" s="61" t="s">
        <v>60</v>
      </c>
      <c r="C105" s="62"/>
      <c r="D105" s="63">
        <v>2500</v>
      </c>
      <c r="E105" s="64"/>
      <c r="F105" s="63">
        <v>-2500</v>
      </c>
      <c r="G105" s="64"/>
      <c r="H105" s="65" t="s">
        <v>252</v>
      </c>
      <c r="I105" s="65"/>
      <c r="J105" s="65" t="s">
        <v>253</v>
      </c>
      <c r="K105" s="65"/>
      <c r="L105" s="66" t="e">
        <f t="shared" si="2"/>
        <v>#VALUE!</v>
      </c>
      <c r="M105" s="66"/>
      <c r="N105" s="52"/>
      <c r="O105" s="15"/>
    </row>
    <row r="106" spans="1:15" s="1" customFormat="1" ht="12.75" customHeight="1" x14ac:dyDescent="0.2">
      <c r="A106" s="52"/>
      <c r="B106" s="61" t="s">
        <v>61</v>
      </c>
      <c r="C106" s="62"/>
      <c r="D106" s="63">
        <v>2600</v>
      </c>
      <c r="E106" s="64"/>
      <c r="F106" s="63">
        <v>-2600</v>
      </c>
      <c r="G106" s="64"/>
      <c r="H106" s="65" t="s">
        <v>254</v>
      </c>
      <c r="I106" s="65"/>
      <c r="J106" s="65" t="s">
        <v>255</v>
      </c>
      <c r="K106" s="65"/>
      <c r="L106" s="66" t="e">
        <f t="shared" si="2"/>
        <v>#VALUE!</v>
      </c>
      <c r="M106" s="66"/>
      <c r="N106" s="52"/>
      <c r="O106" s="15"/>
    </row>
    <row r="107" spans="1:15" s="1" customFormat="1" ht="12.75" customHeight="1" x14ac:dyDescent="0.2">
      <c r="A107" s="53"/>
      <c r="B107" s="61" t="s">
        <v>62</v>
      </c>
      <c r="C107" s="62"/>
      <c r="D107" s="63">
        <v>4500</v>
      </c>
      <c r="E107" s="64"/>
      <c r="F107" s="63">
        <v>-4500</v>
      </c>
      <c r="G107" s="64"/>
      <c r="H107" s="65" t="s">
        <v>256</v>
      </c>
      <c r="I107" s="65"/>
      <c r="J107" s="65" t="s">
        <v>257</v>
      </c>
      <c r="K107" s="65"/>
      <c r="L107" s="66" t="e">
        <f t="shared" si="2"/>
        <v>#VALUE!</v>
      </c>
      <c r="M107" s="66"/>
      <c r="N107" s="53"/>
      <c r="O107" s="15"/>
    </row>
    <row r="108" spans="1:15" s="1" customFormat="1" ht="12.75" customHeight="1" x14ac:dyDescent="0.2">
      <c r="A108" s="39" t="s">
        <v>12</v>
      </c>
      <c r="B108" s="45" t="s">
        <v>0</v>
      </c>
      <c r="C108" s="45"/>
      <c r="D108" s="55" t="s">
        <v>63</v>
      </c>
      <c r="E108" s="56"/>
      <c r="F108" s="45" t="s">
        <v>64</v>
      </c>
      <c r="G108" s="45"/>
      <c r="H108" s="45" t="s">
        <v>65</v>
      </c>
      <c r="I108" s="45"/>
      <c r="J108" s="45" t="s">
        <v>66</v>
      </c>
      <c r="K108" s="45"/>
      <c r="L108" s="45" t="s">
        <v>18</v>
      </c>
      <c r="M108" s="45"/>
      <c r="N108" s="45" t="s">
        <v>13</v>
      </c>
      <c r="O108" s="15"/>
    </row>
    <row r="109" spans="1:15" s="1" customFormat="1" x14ac:dyDescent="0.2">
      <c r="A109" s="40"/>
      <c r="B109" s="45"/>
      <c r="C109" s="45"/>
      <c r="D109" s="57"/>
      <c r="E109" s="58"/>
      <c r="F109" s="45"/>
      <c r="G109" s="45"/>
      <c r="H109" s="45"/>
      <c r="I109" s="45"/>
      <c r="J109" s="45"/>
      <c r="K109" s="45"/>
      <c r="L109" s="45"/>
      <c r="M109" s="45"/>
      <c r="N109" s="45"/>
      <c r="O109" s="15"/>
    </row>
    <row r="110" spans="1:15" s="1" customFormat="1" ht="39" customHeight="1" x14ac:dyDescent="0.2">
      <c r="A110" s="41"/>
      <c r="B110" s="45"/>
      <c r="C110" s="45"/>
      <c r="D110" s="59"/>
      <c r="E110" s="60"/>
      <c r="F110" s="45"/>
      <c r="G110" s="45"/>
      <c r="H110" s="45"/>
      <c r="I110" s="45"/>
      <c r="J110" s="45"/>
      <c r="K110" s="45"/>
      <c r="L110" s="45"/>
      <c r="M110" s="45"/>
      <c r="N110" s="45"/>
      <c r="O110" s="15"/>
    </row>
    <row r="111" spans="1:15" s="1" customFormat="1" ht="12.75" customHeight="1" x14ac:dyDescent="0.2">
      <c r="A111" s="51">
        <v>3</v>
      </c>
      <c r="B111" s="42" t="s">
        <v>35</v>
      </c>
      <c r="C111" s="42"/>
      <c r="D111" s="43">
        <v>4.5</v>
      </c>
      <c r="E111" s="43"/>
      <c r="F111" s="43">
        <v>-4.5</v>
      </c>
      <c r="G111" s="43"/>
      <c r="H111" s="65" t="s">
        <v>258</v>
      </c>
      <c r="I111" s="65"/>
      <c r="J111" s="65" t="s">
        <v>259</v>
      </c>
      <c r="K111" s="65"/>
      <c r="L111" s="66" t="e">
        <f>((H111-J111)/(D111-F111)-1)*100</f>
        <v>#VALUE!</v>
      </c>
      <c r="M111" s="66"/>
      <c r="N111" s="42" t="s">
        <v>14</v>
      </c>
      <c r="O111" s="15"/>
    </row>
    <row r="112" spans="1:15" s="1" customFormat="1" ht="12.75" customHeight="1" x14ac:dyDescent="0.2">
      <c r="A112" s="52"/>
      <c r="B112" s="42" t="s">
        <v>36</v>
      </c>
      <c r="C112" s="42"/>
      <c r="D112" s="43">
        <v>13.5</v>
      </c>
      <c r="E112" s="43"/>
      <c r="F112" s="43">
        <v>-13.5</v>
      </c>
      <c r="G112" s="43"/>
      <c r="H112" s="65" t="s">
        <v>260</v>
      </c>
      <c r="I112" s="65"/>
      <c r="J112" s="65" t="s">
        <v>261</v>
      </c>
      <c r="K112" s="65"/>
      <c r="L112" s="66" t="e">
        <f t="shared" ref="L112:L144" si="3">((H112-J112)/(D112-F112)-1)*100</f>
        <v>#VALUE!</v>
      </c>
      <c r="M112" s="66"/>
      <c r="N112" s="42"/>
      <c r="O112" s="15"/>
    </row>
    <row r="113" spans="1:15" s="1" customFormat="1" ht="12.75" customHeight="1" x14ac:dyDescent="0.2">
      <c r="A113" s="52"/>
      <c r="B113" s="61" t="s">
        <v>37</v>
      </c>
      <c r="C113" s="62"/>
      <c r="D113" s="43">
        <v>14.5</v>
      </c>
      <c r="E113" s="43"/>
      <c r="F113" s="43">
        <v>-14.5</v>
      </c>
      <c r="G113" s="43"/>
      <c r="H113" s="65" t="s">
        <v>262</v>
      </c>
      <c r="I113" s="65"/>
      <c r="J113" s="65" t="s">
        <v>263</v>
      </c>
      <c r="K113" s="65"/>
      <c r="L113" s="66" t="e">
        <f t="shared" si="3"/>
        <v>#VALUE!</v>
      </c>
      <c r="M113" s="66"/>
      <c r="N113" s="42"/>
      <c r="O113" s="15"/>
    </row>
    <row r="114" spans="1:15" s="1" customFormat="1" ht="12.75" customHeight="1" x14ac:dyDescent="0.2">
      <c r="A114" s="52"/>
      <c r="B114" s="61" t="s">
        <v>5</v>
      </c>
      <c r="C114" s="62"/>
      <c r="D114" s="43">
        <v>45</v>
      </c>
      <c r="E114" s="43"/>
      <c r="F114" s="43">
        <v>-45</v>
      </c>
      <c r="G114" s="43"/>
      <c r="H114" s="65" t="s">
        <v>264</v>
      </c>
      <c r="I114" s="65"/>
      <c r="J114" s="65" t="s">
        <v>265</v>
      </c>
      <c r="K114" s="65"/>
      <c r="L114" s="66" t="e">
        <f t="shared" si="3"/>
        <v>#VALUE!</v>
      </c>
      <c r="M114" s="66"/>
      <c r="N114" s="51" t="s">
        <v>67</v>
      </c>
      <c r="O114" s="15"/>
    </row>
    <row r="115" spans="1:15" s="1" customFormat="1" ht="12.75" customHeight="1" x14ac:dyDescent="0.2">
      <c r="A115" s="52"/>
      <c r="B115" s="42" t="s">
        <v>38</v>
      </c>
      <c r="C115" s="42"/>
      <c r="D115" s="43">
        <v>50</v>
      </c>
      <c r="E115" s="43"/>
      <c r="F115" s="43">
        <v>-50</v>
      </c>
      <c r="G115" s="43"/>
      <c r="H115" s="65" t="s">
        <v>266</v>
      </c>
      <c r="I115" s="65"/>
      <c r="J115" s="65" t="s">
        <v>267</v>
      </c>
      <c r="K115" s="65"/>
      <c r="L115" s="66" t="e">
        <f t="shared" si="3"/>
        <v>#VALUE!</v>
      </c>
      <c r="M115" s="66"/>
      <c r="N115" s="52"/>
      <c r="O115" s="15"/>
    </row>
    <row r="116" spans="1:15" s="1" customFormat="1" ht="12.75" customHeight="1" x14ac:dyDescent="0.2">
      <c r="A116" s="52"/>
      <c r="B116" s="42" t="s">
        <v>90</v>
      </c>
      <c r="C116" s="42"/>
      <c r="D116" s="43">
        <v>135</v>
      </c>
      <c r="E116" s="43"/>
      <c r="F116" s="43">
        <v>-135</v>
      </c>
      <c r="G116" s="43"/>
      <c r="H116" s="65" t="s">
        <v>268</v>
      </c>
      <c r="I116" s="65"/>
      <c r="J116" s="65" t="s">
        <v>269</v>
      </c>
      <c r="K116" s="65"/>
      <c r="L116" s="66" t="e">
        <f t="shared" si="3"/>
        <v>#VALUE!</v>
      </c>
      <c r="M116" s="66"/>
      <c r="N116" s="52"/>
      <c r="O116" s="15"/>
    </row>
    <row r="117" spans="1:15" s="1" customFormat="1" ht="12.75" customHeight="1" x14ac:dyDescent="0.2">
      <c r="A117" s="52"/>
      <c r="B117" s="42" t="s">
        <v>39</v>
      </c>
      <c r="C117" s="42"/>
      <c r="D117" s="43">
        <v>145</v>
      </c>
      <c r="E117" s="43"/>
      <c r="F117" s="43">
        <v>-145</v>
      </c>
      <c r="G117" s="43"/>
      <c r="H117" s="65" t="s">
        <v>270</v>
      </c>
      <c r="I117" s="65"/>
      <c r="J117" s="65" t="s">
        <v>271</v>
      </c>
      <c r="K117" s="65"/>
      <c r="L117" s="66" t="e">
        <f t="shared" si="3"/>
        <v>#VALUE!</v>
      </c>
      <c r="M117" s="66"/>
      <c r="N117" s="52"/>
      <c r="O117" s="15"/>
    </row>
    <row r="118" spans="1:15" s="1" customFormat="1" ht="12.75" customHeight="1" x14ac:dyDescent="0.2">
      <c r="A118" s="52"/>
      <c r="B118" s="42" t="s">
        <v>40</v>
      </c>
      <c r="C118" s="42"/>
      <c r="D118" s="43">
        <v>320</v>
      </c>
      <c r="E118" s="43"/>
      <c r="F118" s="43">
        <v>-320</v>
      </c>
      <c r="G118" s="43"/>
      <c r="H118" s="65" t="s">
        <v>272</v>
      </c>
      <c r="I118" s="65"/>
      <c r="J118" s="65" t="s">
        <v>273</v>
      </c>
      <c r="K118" s="65"/>
      <c r="L118" s="66" t="e">
        <f t="shared" si="3"/>
        <v>#VALUE!</v>
      </c>
      <c r="M118" s="66"/>
      <c r="N118" s="52"/>
      <c r="O118" s="15"/>
    </row>
    <row r="119" spans="1:15" s="1" customFormat="1" ht="12.75" customHeight="1" x14ac:dyDescent="0.2">
      <c r="A119" s="52"/>
      <c r="B119" s="42" t="s">
        <v>4</v>
      </c>
      <c r="C119" s="42"/>
      <c r="D119" s="43">
        <v>450</v>
      </c>
      <c r="E119" s="43"/>
      <c r="F119" s="43">
        <v>-450</v>
      </c>
      <c r="G119" s="43"/>
      <c r="H119" s="65" t="s">
        <v>274</v>
      </c>
      <c r="I119" s="65"/>
      <c r="J119" s="65" t="s">
        <v>275</v>
      </c>
      <c r="K119" s="65"/>
      <c r="L119" s="66" t="e">
        <f t="shared" si="3"/>
        <v>#VALUE!</v>
      </c>
      <c r="M119" s="66"/>
      <c r="N119" s="52"/>
      <c r="O119" s="15"/>
    </row>
    <row r="120" spans="1:15" s="1" customFormat="1" ht="12.75" customHeight="1" x14ac:dyDescent="0.2">
      <c r="A120" s="52"/>
      <c r="B120" s="42" t="s">
        <v>41</v>
      </c>
      <c r="C120" s="42"/>
      <c r="D120" s="43">
        <v>500</v>
      </c>
      <c r="E120" s="43"/>
      <c r="F120" s="43">
        <v>-500</v>
      </c>
      <c r="G120" s="43"/>
      <c r="H120" s="65" t="s">
        <v>276</v>
      </c>
      <c r="I120" s="65"/>
      <c r="J120" s="65" t="s">
        <v>277</v>
      </c>
      <c r="K120" s="65"/>
      <c r="L120" s="66" t="e">
        <f t="shared" si="3"/>
        <v>#VALUE!</v>
      </c>
      <c r="M120" s="66"/>
      <c r="N120" s="52"/>
      <c r="O120" s="15"/>
    </row>
    <row r="121" spans="1:15" s="1" customFormat="1" ht="12.75" customHeight="1" x14ac:dyDescent="0.2">
      <c r="A121" s="52"/>
      <c r="B121" s="42" t="s">
        <v>42</v>
      </c>
      <c r="C121" s="42"/>
      <c r="D121" s="43">
        <v>1350</v>
      </c>
      <c r="E121" s="43"/>
      <c r="F121" s="43">
        <v>-1350</v>
      </c>
      <c r="G121" s="43"/>
      <c r="H121" s="65" t="s">
        <v>278</v>
      </c>
      <c r="I121" s="65"/>
      <c r="J121" s="65" t="s">
        <v>279</v>
      </c>
      <c r="K121" s="65"/>
      <c r="L121" s="66" t="e">
        <f t="shared" si="3"/>
        <v>#VALUE!</v>
      </c>
      <c r="M121" s="66"/>
      <c r="N121" s="52"/>
      <c r="O121" s="15"/>
    </row>
    <row r="122" spans="1:15" s="1" customFormat="1" ht="12.75" customHeight="1" x14ac:dyDescent="0.2">
      <c r="A122" s="52"/>
      <c r="B122" s="42" t="s">
        <v>43</v>
      </c>
      <c r="C122" s="42"/>
      <c r="D122" s="43">
        <v>1450</v>
      </c>
      <c r="E122" s="43"/>
      <c r="F122" s="43">
        <v>-1450</v>
      </c>
      <c r="G122" s="43"/>
      <c r="H122" s="65" t="s">
        <v>280</v>
      </c>
      <c r="I122" s="65"/>
      <c r="J122" s="65" t="s">
        <v>281</v>
      </c>
      <c r="K122" s="65"/>
      <c r="L122" s="66" t="e">
        <f t="shared" si="3"/>
        <v>#VALUE!</v>
      </c>
      <c r="M122" s="66"/>
      <c r="N122" s="52"/>
      <c r="O122" s="15"/>
    </row>
    <row r="123" spans="1:15" s="1" customFormat="1" ht="12.75" customHeight="1" x14ac:dyDescent="0.2">
      <c r="A123" s="52"/>
      <c r="B123" s="42" t="s">
        <v>44</v>
      </c>
      <c r="C123" s="42"/>
      <c r="D123" s="43">
        <v>4500</v>
      </c>
      <c r="E123" s="43"/>
      <c r="F123" s="43">
        <v>-4500</v>
      </c>
      <c r="G123" s="43"/>
      <c r="H123" s="65" t="s">
        <v>282</v>
      </c>
      <c r="I123" s="65"/>
      <c r="J123" s="65" t="s">
        <v>283</v>
      </c>
      <c r="K123" s="65"/>
      <c r="L123" s="66" t="e">
        <f t="shared" si="3"/>
        <v>#VALUE!</v>
      </c>
      <c r="M123" s="66"/>
      <c r="N123" s="52"/>
      <c r="O123" s="15"/>
    </row>
    <row r="124" spans="1:15" s="1" customFormat="1" ht="12.75" customHeight="1" x14ac:dyDescent="0.2">
      <c r="A124" s="52"/>
      <c r="B124" s="42" t="s">
        <v>45</v>
      </c>
      <c r="C124" s="42"/>
      <c r="D124" s="43">
        <v>5000</v>
      </c>
      <c r="E124" s="43"/>
      <c r="F124" s="43">
        <v>-5000</v>
      </c>
      <c r="G124" s="43"/>
      <c r="H124" s="65" t="s">
        <v>284</v>
      </c>
      <c r="I124" s="65"/>
      <c r="J124" s="65" t="s">
        <v>285</v>
      </c>
      <c r="K124" s="65"/>
      <c r="L124" s="66" t="e">
        <f t="shared" si="3"/>
        <v>#VALUE!</v>
      </c>
      <c r="M124" s="66"/>
      <c r="N124" s="52"/>
      <c r="O124" s="15"/>
    </row>
    <row r="125" spans="1:15" s="1" customFormat="1" ht="12.75" customHeight="1" x14ac:dyDescent="0.2">
      <c r="A125" s="52"/>
      <c r="B125" s="42" t="s">
        <v>46</v>
      </c>
      <c r="C125" s="42"/>
      <c r="D125" s="43">
        <v>13500</v>
      </c>
      <c r="E125" s="43"/>
      <c r="F125" s="43">
        <v>-13500</v>
      </c>
      <c r="G125" s="43"/>
      <c r="H125" s="65" t="s">
        <v>286</v>
      </c>
      <c r="I125" s="65"/>
      <c r="J125" s="65" t="s">
        <v>287</v>
      </c>
      <c r="K125" s="65"/>
      <c r="L125" s="66" t="e">
        <f t="shared" si="3"/>
        <v>#VALUE!</v>
      </c>
      <c r="M125" s="66"/>
      <c r="N125" s="52"/>
      <c r="O125" s="15"/>
    </row>
    <row r="126" spans="1:15" s="1" customFormat="1" ht="12.75" customHeight="1" x14ac:dyDescent="0.2">
      <c r="A126" s="52"/>
      <c r="B126" s="42" t="s">
        <v>47</v>
      </c>
      <c r="C126" s="42"/>
      <c r="D126" s="43">
        <v>14500</v>
      </c>
      <c r="E126" s="43"/>
      <c r="F126" s="43">
        <v>-14500</v>
      </c>
      <c r="G126" s="43"/>
      <c r="H126" s="65" t="s">
        <v>288</v>
      </c>
      <c r="I126" s="65"/>
      <c r="J126" s="65" t="s">
        <v>289</v>
      </c>
      <c r="K126" s="65"/>
      <c r="L126" s="66" t="e">
        <f t="shared" si="3"/>
        <v>#VALUE!</v>
      </c>
      <c r="M126" s="66"/>
      <c r="N126" s="52"/>
      <c r="O126" s="15"/>
    </row>
    <row r="127" spans="1:15" s="1" customFormat="1" ht="12.75" customHeight="1" x14ac:dyDescent="0.2">
      <c r="A127" s="52"/>
      <c r="B127" s="42" t="s">
        <v>48</v>
      </c>
      <c r="C127" s="42"/>
      <c r="D127" s="43">
        <v>40000</v>
      </c>
      <c r="E127" s="43"/>
      <c r="F127" s="43">
        <v>-40000</v>
      </c>
      <c r="G127" s="43"/>
      <c r="H127" s="65" t="s">
        <v>290</v>
      </c>
      <c r="I127" s="65"/>
      <c r="J127" s="65" t="s">
        <v>291</v>
      </c>
      <c r="K127" s="65"/>
      <c r="L127" s="66" t="e">
        <f t="shared" si="3"/>
        <v>#VALUE!</v>
      </c>
      <c r="M127" s="66"/>
      <c r="N127" s="52"/>
      <c r="O127" s="15"/>
    </row>
    <row r="128" spans="1:15" s="1" customFormat="1" ht="12.75" customHeight="1" x14ac:dyDescent="0.2">
      <c r="A128" s="52"/>
      <c r="B128" s="61" t="s">
        <v>49</v>
      </c>
      <c r="C128" s="62"/>
      <c r="D128" s="43">
        <v>4.5</v>
      </c>
      <c r="E128" s="43"/>
      <c r="F128" s="43">
        <v>-4.5</v>
      </c>
      <c r="G128" s="43"/>
      <c r="H128" s="65" t="s">
        <v>292</v>
      </c>
      <c r="I128" s="65"/>
      <c r="J128" s="65" t="s">
        <v>293</v>
      </c>
      <c r="K128" s="65"/>
      <c r="L128" s="66" t="e">
        <f t="shared" si="3"/>
        <v>#VALUE!</v>
      </c>
      <c r="M128" s="66"/>
      <c r="N128" s="52"/>
      <c r="O128" s="15"/>
    </row>
    <row r="129" spans="1:15" s="1" customFormat="1" ht="12.75" customHeight="1" x14ac:dyDescent="0.2">
      <c r="A129" s="52"/>
      <c r="B129" s="61" t="s">
        <v>50</v>
      </c>
      <c r="C129" s="62"/>
      <c r="D129" s="43">
        <v>13.5</v>
      </c>
      <c r="E129" s="43"/>
      <c r="F129" s="43">
        <v>-13.5</v>
      </c>
      <c r="G129" s="43"/>
      <c r="H129" s="65" t="s">
        <v>294</v>
      </c>
      <c r="I129" s="65"/>
      <c r="J129" s="65" t="s">
        <v>295</v>
      </c>
      <c r="K129" s="65"/>
      <c r="L129" s="66" t="e">
        <f t="shared" si="3"/>
        <v>#VALUE!</v>
      </c>
      <c r="M129" s="66"/>
      <c r="N129" s="52"/>
      <c r="O129" s="15"/>
    </row>
    <row r="130" spans="1:15" s="1" customFormat="1" ht="12.75" customHeight="1" x14ac:dyDescent="0.2">
      <c r="A130" s="52"/>
      <c r="B130" s="61" t="s">
        <v>51</v>
      </c>
      <c r="C130" s="62"/>
      <c r="D130" s="43">
        <v>14.5</v>
      </c>
      <c r="E130" s="43"/>
      <c r="F130" s="43">
        <v>-14.5</v>
      </c>
      <c r="G130" s="43"/>
      <c r="H130" s="65" t="s">
        <v>296</v>
      </c>
      <c r="I130" s="65"/>
      <c r="J130" s="65" t="s">
        <v>297</v>
      </c>
      <c r="K130" s="65"/>
      <c r="L130" s="66" t="e">
        <f t="shared" si="3"/>
        <v>#VALUE!</v>
      </c>
      <c r="M130" s="66"/>
      <c r="N130" s="52"/>
      <c r="O130" s="15"/>
    </row>
    <row r="131" spans="1:15" s="1" customFormat="1" ht="12.75" customHeight="1" x14ac:dyDescent="0.2">
      <c r="A131" s="52"/>
      <c r="B131" s="61" t="s">
        <v>3</v>
      </c>
      <c r="C131" s="62"/>
      <c r="D131" s="43">
        <v>45</v>
      </c>
      <c r="E131" s="43"/>
      <c r="F131" s="43">
        <v>-45</v>
      </c>
      <c r="G131" s="43"/>
      <c r="H131" s="65" t="s">
        <v>298</v>
      </c>
      <c r="I131" s="65"/>
      <c r="J131" s="65" t="s">
        <v>299</v>
      </c>
      <c r="K131" s="65"/>
      <c r="L131" s="66" t="e">
        <f t="shared" si="3"/>
        <v>#VALUE!</v>
      </c>
      <c r="M131" s="66"/>
      <c r="N131" s="52"/>
      <c r="O131" s="15"/>
    </row>
    <row r="132" spans="1:15" s="1" customFormat="1" ht="12.75" customHeight="1" x14ac:dyDescent="0.2">
      <c r="A132" s="52"/>
      <c r="B132" s="61" t="s">
        <v>52</v>
      </c>
      <c r="C132" s="62"/>
      <c r="D132" s="43">
        <v>50</v>
      </c>
      <c r="E132" s="43"/>
      <c r="F132" s="43">
        <v>-50</v>
      </c>
      <c r="G132" s="43"/>
      <c r="H132" s="65" t="s">
        <v>300</v>
      </c>
      <c r="I132" s="65"/>
      <c r="J132" s="65" t="s">
        <v>301</v>
      </c>
      <c r="K132" s="65"/>
      <c r="L132" s="66" t="e">
        <f t="shared" si="3"/>
        <v>#VALUE!</v>
      </c>
      <c r="M132" s="66"/>
      <c r="N132" s="52"/>
      <c r="O132" s="15"/>
    </row>
    <row r="133" spans="1:15" s="1" customFormat="1" ht="12.75" customHeight="1" x14ac:dyDescent="0.2">
      <c r="A133" s="52"/>
      <c r="B133" s="61" t="s">
        <v>604</v>
      </c>
      <c r="C133" s="62"/>
      <c r="D133" s="43">
        <v>135</v>
      </c>
      <c r="E133" s="43"/>
      <c r="F133" s="43">
        <v>-135</v>
      </c>
      <c r="G133" s="43"/>
      <c r="H133" s="65" t="s">
        <v>302</v>
      </c>
      <c r="I133" s="65"/>
      <c r="J133" s="65" t="s">
        <v>303</v>
      </c>
      <c r="K133" s="65"/>
      <c r="L133" s="66" t="e">
        <f t="shared" si="3"/>
        <v>#VALUE!</v>
      </c>
      <c r="M133" s="66"/>
      <c r="N133" s="52"/>
      <c r="O133" s="15"/>
    </row>
    <row r="134" spans="1:15" s="1" customFormat="1" ht="12.75" customHeight="1" x14ac:dyDescent="0.2">
      <c r="A134" s="52"/>
      <c r="B134" s="61" t="s">
        <v>53</v>
      </c>
      <c r="C134" s="62"/>
      <c r="D134" s="43">
        <v>145</v>
      </c>
      <c r="E134" s="43"/>
      <c r="F134" s="43">
        <v>-145</v>
      </c>
      <c r="G134" s="43"/>
      <c r="H134" s="65" t="s">
        <v>304</v>
      </c>
      <c r="I134" s="65"/>
      <c r="J134" s="65" t="s">
        <v>305</v>
      </c>
      <c r="K134" s="65"/>
      <c r="L134" s="66" t="e">
        <f t="shared" si="3"/>
        <v>#VALUE!</v>
      </c>
      <c r="M134" s="66"/>
      <c r="N134" s="52"/>
      <c r="O134" s="15"/>
    </row>
    <row r="135" spans="1:15" s="1" customFormat="1" ht="12.75" customHeight="1" x14ac:dyDescent="0.2">
      <c r="A135" s="52"/>
      <c r="B135" s="61" t="s">
        <v>54</v>
      </c>
      <c r="C135" s="62"/>
      <c r="D135" s="43">
        <v>320</v>
      </c>
      <c r="E135" s="43"/>
      <c r="F135" s="43">
        <v>-320</v>
      </c>
      <c r="G135" s="43"/>
      <c r="H135" s="65" t="s">
        <v>306</v>
      </c>
      <c r="I135" s="65"/>
      <c r="J135" s="65" t="s">
        <v>307</v>
      </c>
      <c r="K135" s="65"/>
      <c r="L135" s="66" t="e">
        <f t="shared" si="3"/>
        <v>#VALUE!</v>
      </c>
      <c r="M135" s="66"/>
      <c r="N135" s="52"/>
      <c r="O135" s="15"/>
    </row>
    <row r="136" spans="1:15" s="1" customFormat="1" ht="12.75" customHeight="1" x14ac:dyDescent="0.2">
      <c r="A136" s="52"/>
      <c r="B136" s="61" t="s">
        <v>2</v>
      </c>
      <c r="C136" s="62"/>
      <c r="D136" s="63">
        <v>450</v>
      </c>
      <c r="E136" s="64"/>
      <c r="F136" s="63">
        <v>-450</v>
      </c>
      <c r="G136" s="64"/>
      <c r="H136" s="65" t="s">
        <v>308</v>
      </c>
      <c r="I136" s="65"/>
      <c r="J136" s="65" t="s">
        <v>309</v>
      </c>
      <c r="K136" s="65"/>
      <c r="L136" s="66" t="e">
        <f t="shared" si="3"/>
        <v>#VALUE!</v>
      </c>
      <c r="M136" s="66"/>
      <c r="N136" s="52"/>
      <c r="O136" s="15"/>
    </row>
    <row r="137" spans="1:15" s="1" customFormat="1" ht="12.75" customHeight="1" x14ac:dyDescent="0.2">
      <c r="A137" s="52"/>
      <c r="B137" s="61" t="s">
        <v>55</v>
      </c>
      <c r="C137" s="62"/>
      <c r="D137" s="63">
        <v>500</v>
      </c>
      <c r="E137" s="64"/>
      <c r="F137" s="63">
        <v>-500</v>
      </c>
      <c r="G137" s="64"/>
      <c r="H137" s="65" t="s">
        <v>310</v>
      </c>
      <c r="I137" s="65"/>
      <c r="J137" s="65" t="s">
        <v>311</v>
      </c>
      <c r="K137" s="65"/>
      <c r="L137" s="66" t="e">
        <f t="shared" si="3"/>
        <v>#VALUE!</v>
      </c>
      <c r="M137" s="66"/>
      <c r="N137" s="52"/>
      <c r="O137" s="15"/>
    </row>
    <row r="138" spans="1:15" s="1" customFormat="1" ht="12.75" customHeight="1" x14ac:dyDescent="0.2">
      <c r="A138" s="52"/>
      <c r="B138" s="61" t="s">
        <v>56</v>
      </c>
      <c r="C138" s="62"/>
      <c r="D138" s="63">
        <v>790</v>
      </c>
      <c r="E138" s="64"/>
      <c r="F138" s="63">
        <v>-790</v>
      </c>
      <c r="G138" s="64"/>
      <c r="H138" s="65" t="s">
        <v>312</v>
      </c>
      <c r="I138" s="65"/>
      <c r="J138" s="65" t="s">
        <v>313</v>
      </c>
      <c r="K138" s="65"/>
      <c r="L138" s="66" t="e">
        <f t="shared" si="3"/>
        <v>#VALUE!</v>
      </c>
      <c r="M138" s="66"/>
      <c r="N138" s="52"/>
      <c r="O138" s="15"/>
    </row>
    <row r="139" spans="1:15" s="1" customFormat="1" ht="12.75" customHeight="1" x14ac:dyDescent="0.2">
      <c r="A139" s="52"/>
      <c r="B139" s="61" t="s">
        <v>57</v>
      </c>
      <c r="C139" s="62"/>
      <c r="D139" s="63">
        <v>810</v>
      </c>
      <c r="E139" s="64"/>
      <c r="F139" s="63">
        <v>-810</v>
      </c>
      <c r="G139" s="64"/>
      <c r="H139" s="65" t="s">
        <v>314</v>
      </c>
      <c r="I139" s="65"/>
      <c r="J139" s="65" t="s">
        <v>315</v>
      </c>
      <c r="K139" s="65"/>
      <c r="L139" s="66" t="e">
        <f t="shared" si="3"/>
        <v>#VALUE!</v>
      </c>
      <c r="M139" s="66"/>
      <c r="N139" s="52"/>
      <c r="O139" s="15"/>
    </row>
    <row r="140" spans="1:15" s="1" customFormat="1" ht="12.75" customHeight="1" x14ac:dyDescent="0.2">
      <c r="A140" s="52"/>
      <c r="B140" s="61" t="s">
        <v>58</v>
      </c>
      <c r="C140" s="62"/>
      <c r="D140" s="63">
        <v>1350</v>
      </c>
      <c r="E140" s="64"/>
      <c r="F140" s="63">
        <v>-1350</v>
      </c>
      <c r="G140" s="64"/>
      <c r="H140" s="65" t="s">
        <v>316</v>
      </c>
      <c r="I140" s="65"/>
      <c r="J140" s="65" t="s">
        <v>317</v>
      </c>
      <c r="K140" s="65"/>
      <c r="L140" s="66" t="e">
        <f t="shared" si="3"/>
        <v>#VALUE!</v>
      </c>
      <c r="M140" s="66"/>
      <c r="N140" s="52"/>
      <c r="O140" s="15"/>
    </row>
    <row r="141" spans="1:15" s="1" customFormat="1" ht="12.75" customHeight="1" x14ac:dyDescent="0.2">
      <c r="A141" s="52"/>
      <c r="B141" s="61" t="s">
        <v>59</v>
      </c>
      <c r="C141" s="62"/>
      <c r="D141" s="63">
        <v>1450</v>
      </c>
      <c r="E141" s="64"/>
      <c r="F141" s="63">
        <v>-1450</v>
      </c>
      <c r="G141" s="64"/>
      <c r="H141" s="65" t="s">
        <v>318</v>
      </c>
      <c r="I141" s="65"/>
      <c r="J141" s="65" t="s">
        <v>319</v>
      </c>
      <c r="K141" s="65"/>
      <c r="L141" s="66" t="e">
        <f t="shared" si="3"/>
        <v>#VALUE!</v>
      </c>
      <c r="M141" s="66"/>
      <c r="N141" s="52"/>
      <c r="O141" s="15"/>
    </row>
    <row r="142" spans="1:15" s="1" customFormat="1" ht="12.75" customHeight="1" x14ac:dyDescent="0.2">
      <c r="A142" s="52"/>
      <c r="B142" s="61" t="s">
        <v>60</v>
      </c>
      <c r="C142" s="62"/>
      <c r="D142" s="63">
        <v>2500</v>
      </c>
      <c r="E142" s="64"/>
      <c r="F142" s="63">
        <v>-2500</v>
      </c>
      <c r="G142" s="64"/>
      <c r="H142" s="65" t="s">
        <v>320</v>
      </c>
      <c r="I142" s="65"/>
      <c r="J142" s="65" t="s">
        <v>321</v>
      </c>
      <c r="K142" s="65"/>
      <c r="L142" s="66" t="e">
        <f t="shared" si="3"/>
        <v>#VALUE!</v>
      </c>
      <c r="M142" s="66"/>
      <c r="N142" s="52"/>
      <c r="O142" s="15"/>
    </row>
    <row r="143" spans="1:15" s="1" customFormat="1" ht="12.75" customHeight="1" x14ac:dyDescent="0.2">
      <c r="A143" s="52"/>
      <c r="B143" s="61" t="s">
        <v>61</v>
      </c>
      <c r="C143" s="62"/>
      <c r="D143" s="63">
        <v>2600</v>
      </c>
      <c r="E143" s="64"/>
      <c r="F143" s="63">
        <v>-2600</v>
      </c>
      <c r="G143" s="64"/>
      <c r="H143" s="65" t="s">
        <v>322</v>
      </c>
      <c r="I143" s="65"/>
      <c r="J143" s="65" t="s">
        <v>323</v>
      </c>
      <c r="K143" s="65"/>
      <c r="L143" s="66" t="e">
        <f t="shared" si="3"/>
        <v>#VALUE!</v>
      </c>
      <c r="M143" s="66"/>
      <c r="N143" s="52"/>
      <c r="O143" s="15"/>
    </row>
    <row r="144" spans="1:15" s="1" customFormat="1" ht="12.75" customHeight="1" x14ac:dyDescent="0.2">
      <c r="A144" s="53"/>
      <c r="B144" s="61" t="s">
        <v>62</v>
      </c>
      <c r="C144" s="62"/>
      <c r="D144" s="63">
        <v>4500</v>
      </c>
      <c r="E144" s="64"/>
      <c r="F144" s="63">
        <v>-4500</v>
      </c>
      <c r="G144" s="64"/>
      <c r="H144" s="65" t="s">
        <v>324</v>
      </c>
      <c r="I144" s="65"/>
      <c r="J144" s="65" t="s">
        <v>325</v>
      </c>
      <c r="K144" s="65"/>
      <c r="L144" s="66" t="e">
        <f t="shared" si="3"/>
        <v>#VALUE!</v>
      </c>
      <c r="M144" s="66"/>
      <c r="N144" s="53"/>
      <c r="O144" s="15"/>
    </row>
    <row r="145" spans="1:15" s="1" customFormat="1" ht="12.75" customHeight="1" x14ac:dyDescent="0.2">
      <c r="A145" s="39" t="s">
        <v>12</v>
      </c>
      <c r="B145" s="45" t="s">
        <v>0</v>
      </c>
      <c r="C145" s="45"/>
      <c r="D145" s="55" t="s">
        <v>63</v>
      </c>
      <c r="E145" s="56"/>
      <c r="F145" s="45" t="s">
        <v>64</v>
      </c>
      <c r="G145" s="45"/>
      <c r="H145" s="45" t="s">
        <v>65</v>
      </c>
      <c r="I145" s="45"/>
      <c r="J145" s="45" t="s">
        <v>66</v>
      </c>
      <c r="K145" s="45"/>
      <c r="L145" s="45" t="s">
        <v>18</v>
      </c>
      <c r="M145" s="45"/>
      <c r="N145" s="45" t="s">
        <v>13</v>
      </c>
      <c r="O145" s="15"/>
    </row>
    <row r="146" spans="1:15" s="1" customFormat="1" x14ac:dyDescent="0.2">
      <c r="A146" s="40"/>
      <c r="B146" s="45"/>
      <c r="C146" s="45"/>
      <c r="D146" s="57"/>
      <c r="E146" s="58"/>
      <c r="F146" s="45"/>
      <c r="G146" s="45"/>
      <c r="H146" s="45"/>
      <c r="I146" s="45"/>
      <c r="J146" s="45"/>
      <c r="K146" s="45"/>
      <c r="L146" s="45"/>
      <c r="M146" s="45"/>
      <c r="N146" s="45"/>
      <c r="O146" s="15"/>
    </row>
    <row r="147" spans="1:15" s="1" customFormat="1" ht="39" customHeight="1" x14ac:dyDescent="0.2">
      <c r="A147" s="41"/>
      <c r="B147" s="45"/>
      <c r="C147" s="45"/>
      <c r="D147" s="59"/>
      <c r="E147" s="60"/>
      <c r="F147" s="45"/>
      <c r="G147" s="45"/>
      <c r="H147" s="45"/>
      <c r="I147" s="45"/>
      <c r="J147" s="45"/>
      <c r="K147" s="45"/>
      <c r="L147" s="45"/>
      <c r="M147" s="45"/>
      <c r="N147" s="45"/>
      <c r="O147" s="15"/>
    </row>
    <row r="148" spans="1:15" s="1" customFormat="1" ht="12.75" customHeight="1" x14ac:dyDescent="0.2">
      <c r="A148" s="51">
        <v>4</v>
      </c>
      <c r="B148" s="42" t="s">
        <v>35</v>
      </c>
      <c r="C148" s="42"/>
      <c r="D148" s="43">
        <v>4.5</v>
      </c>
      <c r="E148" s="43"/>
      <c r="F148" s="43">
        <v>-4.5</v>
      </c>
      <c r="G148" s="43"/>
      <c r="H148" s="65" t="s">
        <v>326</v>
      </c>
      <c r="I148" s="65"/>
      <c r="J148" s="65" t="s">
        <v>327</v>
      </c>
      <c r="K148" s="65"/>
      <c r="L148" s="66" t="e">
        <f>((H148-J148)/(D148-F148)-1)*100</f>
        <v>#VALUE!</v>
      </c>
      <c r="M148" s="66"/>
      <c r="N148" s="42" t="s">
        <v>14</v>
      </c>
      <c r="O148" s="15"/>
    </row>
    <row r="149" spans="1:15" s="1" customFormat="1" ht="12.75" customHeight="1" x14ac:dyDescent="0.2">
      <c r="A149" s="52"/>
      <c r="B149" s="42" t="s">
        <v>36</v>
      </c>
      <c r="C149" s="42"/>
      <c r="D149" s="43">
        <v>13.5</v>
      </c>
      <c r="E149" s="43"/>
      <c r="F149" s="43">
        <v>-13.5</v>
      </c>
      <c r="G149" s="43"/>
      <c r="H149" s="65" t="s">
        <v>328</v>
      </c>
      <c r="I149" s="65"/>
      <c r="J149" s="65" t="s">
        <v>329</v>
      </c>
      <c r="K149" s="65"/>
      <c r="L149" s="66" t="e">
        <f t="shared" ref="L149:L181" si="4">((H149-J149)/(D149-F149)-1)*100</f>
        <v>#VALUE!</v>
      </c>
      <c r="M149" s="66"/>
      <c r="N149" s="42"/>
      <c r="O149" s="15"/>
    </row>
    <row r="150" spans="1:15" s="1" customFormat="1" ht="12.75" customHeight="1" x14ac:dyDescent="0.2">
      <c r="A150" s="52"/>
      <c r="B150" s="61" t="s">
        <v>37</v>
      </c>
      <c r="C150" s="62"/>
      <c r="D150" s="43">
        <v>14.5</v>
      </c>
      <c r="E150" s="43"/>
      <c r="F150" s="43">
        <v>-14.5</v>
      </c>
      <c r="G150" s="43"/>
      <c r="H150" s="65" t="s">
        <v>330</v>
      </c>
      <c r="I150" s="65"/>
      <c r="J150" s="65" t="s">
        <v>331</v>
      </c>
      <c r="K150" s="65"/>
      <c r="L150" s="66" t="e">
        <f t="shared" si="4"/>
        <v>#VALUE!</v>
      </c>
      <c r="M150" s="66"/>
      <c r="N150" s="42"/>
      <c r="O150" s="15"/>
    </row>
    <row r="151" spans="1:15" s="1" customFormat="1" ht="12.75" customHeight="1" x14ac:dyDescent="0.2">
      <c r="A151" s="52"/>
      <c r="B151" s="61" t="s">
        <v>5</v>
      </c>
      <c r="C151" s="62"/>
      <c r="D151" s="43">
        <v>45</v>
      </c>
      <c r="E151" s="43"/>
      <c r="F151" s="43">
        <v>-45</v>
      </c>
      <c r="G151" s="43"/>
      <c r="H151" s="65" t="s">
        <v>332</v>
      </c>
      <c r="I151" s="65"/>
      <c r="J151" s="65" t="s">
        <v>333</v>
      </c>
      <c r="K151" s="65"/>
      <c r="L151" s="66" t="e">
        <f t="shared" si="4"/>
        <v>#VALUE!</v>
      </c>
      <c r="M151" s="66"/>
      <c r="N151" s="51" t="s">
        <v>67</v>
      </c>
      <c r="O151" s="15"/>
    </row>
    <row r="152" spans="1:15" s="1" customFormat="1" ht="12.75" customHeight="1" x14ac:dyDescent="0.2">
      <c r="A152" s="52"/>
      <c r="B152" s="42" t="s">
        <v>38</v>
      </c>
      <c r="C152" s="42"/>
      <c r="D152" s="43">
        <v>50</v>
      </c>
      <c r="E152" s="43"/>
      <c r="F152" s="43">
        <v>-50</v>
      </c>
      <c r="G152" s="43"/>
      <c r="H152" s="65" t="s">
        <v>334</v>
      </c>
      <c r="I152" s="65"/>
      <c r="J152" s="65" t="s">
        <v>335</v>
      </c>
      <c r="K152" s="65"/>
      <c r="L152" s="66" t="e">
        <f t="shared" si="4"/>
        <v>#VALUE!</v>
      </c>
      <c r="M152" s="66"/>
      <c r="N152" s="52"/>
      <c r="O152" s="15"/>
    </row>
    <row r="153" spans="1:15" s="1" customFormat="1" ht="12.75" customHeight="1" x14ac:dyDescent="0.2">
      <c r="A153" s="52"/>
      <c r="B153" s="42" t="s">
        <v>90</v>
      </c>
      <c r="C153" s="42"/>
      <c r="D153" s="43">
        <v>135</v>
      </c>
      <c r="E153" s="43"/>
      <c r="F153" s="43">
        <v>-135</v>
      </c>
      <c r="G153" s="43"/>
      <c r="H153" s="65" t="s">
        <v>336</v>
      </c>
      <c r="I153" s="65"/>
      <c r="J153" s="65" t="s">
        <v>337</v>
      </c>
      <c r="K153" s="65"/>
      <c r="L153" s="66" t="e">
        <f t="shared" si="4"/>
        <v>#VALUE!</v>
      </c>
      <c r="M153" s="66"/>
      <c r="N153" s="52"/>
      <c r="O153" s="15"/>
    </row>
    <row r="154" spans="1:15" s="1" customFormat="1" ht="12.75" customHeight="1" x14ac:dyDescent="0.2">
      <c r="A154" s="52"/>
      <c r="B154" s="42" t="s">
        <v>39</v>
      </c>
      <c r="C154" s="42"/>
      <c r="D154" s="43">
        <v>145</v>
      </c>
      <c r="E154" s="43"/>
      <c r="F154" s="43">
        <v>-145</v>
      </c>
      <c r="G154" s="43"/>
      <c r="H154" s="65" t="s">
        <v>338</v>
      </c>
      <c r="I154" s="65"/>
      <c r="J154" s="65" t="s">
        <v>339</v>
      </c>
      <c r="K154" s="65"/>
      <c r="L154" s="66" t="e">
        <f t="shared" si="4"/>
        <v>#VALUE!</v>
      </c>
      <c r="M154" s="66"/>
      <c r="N154" s="52"/>
      <c r="O154" s="15"/>
    </row>
    <row r="155" spans="1:15" s="1" customFormat="1" ht="12.75" customHeight="1" x14ac:dyDescent="0.2">
      <c r="A155" s="52"/>
      <c r="B155" s="42" t="s">
        <v>40</v>
      </c>
      <c r="C155" s="42"/>
      <c r="D155" s="43">
        <v>320</v>
      </c>
      <c r="E155" s="43"/>
      <c r="F155" s="43">
        <v>-320</v>
      </c>
      <c r="G155" s="43"/>
      <c r="H155" s="65" t="s">
        <v>340</v>
      </c>
      <c r="I155" s="65"/>
      <c r="J155" s="65" t="s">
        <v>341</v>
      </c>
      <c r="K155" s="65"/>
      <c r="L155" s="66" t="e">
        <f t="shared" si="4"/>
        <v>#VALUE!</v>
      </c>
      <c r="M155" s="66"/>
      <c r="N155" s="52"/>
      <c r="O155" s="15"/>
    </row>
    <row r="156" spans="1:15" s="1" customFormat="1" ht="12.75" customHeight="1" x14ac:dyDescent="0.2">
      <c r="A156" s="52"/>
      <c r="B156" s="42" t="s">
        <v>4</v>
      </c>
      <c r="C156" s="42"/>
      <c r="D156" s="43">
        <v>450</v>
      </c>
      <c r="E156" s="43"/>
      <c r="F156" s="43">
        <v>-450</v>
      </c>
      <c r="G156" s="43"/>
      <c r="H156" s="65" t="s">
        <v>342</v>
      </c>
      <c r="I156" s="65"/>
      <c r="J156" s="65" t="s">
        <v>343</v>
      </c>
      <c r="K156" s="65"/>
      <c r="L156" s="66" t="e">
        <f t="shared" si="4"/>
        <v>#VALUE!</v>
      </c>
      <c r="M156" s="66"/>
      <c r="N156" s="52"/>
      <c r="O156" s="15"/>
    </row>
    <row r="157" spans="1:15" s="1" customFormat="1" ht="12.75" customHeight="1" x14ac:dyDescent="0.2">
      <c r="A157" s="52"/>
      <c r="B157" s="42" t="s">
        <v>41</v>
      </c>
      <c r="C157" s="42"/>
      <c r="D157" s="43">
        <v>500</v>
      </c>
      <c r="E157" s="43"/>
      <c r="F157" s="43">
        <v>-500</v>
      </c>
      <c r="G157" s="43"/>
      <c r="H157" s="65" t="s">
        <v>344</v>
      </c>
      <c r="I157" s="65"/>
      <c r="J157" s="65" t="s">
        <v>345</v>
      </c>
      <c r="K157" s="65"/>
      <c r="L157" s="66" t="e">
        <f t="shared" si="4"/>
        <v>#VALUE!</v>
      </c>
      <c r="M157" s="66"/>
      <c r="N157" s="52"/>
      <c r="O157" s="15"/>
    </row>
    <row r="158" spans="1:15" s="1" customFormat="1" ht="12.75" customHeight="1" x14ac:dyDescent="0.2">
      <c r="A158" s="52"/>
      <c r="B158" s="42" t="s">
        <v>42</v>
      </c>
      <c r="C158" s="42"/>
      <c r="D158" s="43">
        <v>1350</v>
      </c>
      <c r="E158" s="43"/>
      <c r="F158" s="43">
        <v>-1350</v>
      </c>
      <c r="G158" s="43"/>
      <c r="H158" s="65" t="s">
        <v>346</v>
      </c>
      <c r="I158" s="65"/>
      <c r="J158" s="65" t="s">
        <v>347</v>
      </c>
      <c r="K158" s="65"/>
      <c r="L158" s="66" t="e">
        <f t="shared" si="4"/>
        <v>#VALUE!</v>
      </c>
      <c r="M158" s="66"/>
      <c r="N158" s="52"/>
      <c r="O158" s="15"/>
    </row>
    <row r="159" spans="1:15" s="1" customFormat="1" ht="12.75" customHeight="1" x14ac:dyDescent="0.2">
      <c r="A159" s="52"/>
      <c r="B159" s="42" t="s">
        <v>43</v>
      </c>
      <c r="C159" s="42"/>
      <c r="D159" s="43">
        <v>1450</v>
      </c>
      <c r="E159" s="43"/>
      <c r="F159" s="43">
        <v>-1450</v>
      </c>
      <c r="G159" s="43"/>
      <c r="H159" s="65" t="s">
        <v>348</v>
      </c>
      <c r="I159" s="65"/>
      <c r="J159" s="65" t="s">
        <v>349</v>
      </c>
      <c r="K159" s="65"/>
      <c r="L159" s="66" t="e">
        <f t="shared" si="4"/>
        <v>#VALUE!</v>
      </c>
      <c r="M159" s="66"/>
      <c r="N159" s="52"/>
      <c r="O159" s="15"/>
    </row>
    <row r="160" spans="1:15" s="1" customFormat="1" ht="12.75" customHeight="1" x14ac:dyDescent="0.2">
      <c r="A160" s="52"/>
      <c r="B160" s="42" t="s">
        <v>44</v>
      </c>
      <c r="C160" s="42"/>
      <c r="D160" s="43">
        <v>4500</v>
      </c>
      <c r="E160" s="43"/>
      <c r="F160" s="43">
        <v>-4500</v>
      </c>
      <c r="G160" s="43"/>
      <c r="H160" s="65" t="s">
        <v>350</v>
      </c>
      <c r="I160" s="65"/>
      <c r="J160" s="65" t="s">
        <v>351</v>
      </c>
      <c r="K160" s="65"/>
      <c r="L160" s="66" t="e">
        <f t="shared" si="4"/>
        <v>#VALUE!</v>
      </c>
      <c r="M160" s="66"/>
      <c r="N160" s="52"/>
      <c r="O160" s="15"/>
    </row>
    <row r="161" spans="1:15" s="1" customFormat="1" ht="12.75" customHeight="1" x14ac:dyDescent="0.2">
      <c r="A161" s="52"/>
      <c r="B161" s="42" t="s">
        <v>45</v>
      </c>
      <c r="C161" s="42"/>
      <c r="D161" s="43">
        <v>5000</v>
      </c>
      <c r="E161" s="43"/>
      <c r="F161" s="43">
        <v>-5000</v>
      </c>
      <c r="G161" s="43"/>
      <c r="H161" s="65" t="s">
        <v>352</v>
      </c>
      <c r="I161" s="65"/>
      <c r="J161" s="65" t="s">
        <v>353</v>
      </c>
      <c r="K161" s="65"/>
      <c r="L161" s="66" t="e">
        <f t="shared" si="4"/>
        <v>#VALUE!</v>
      </c>
      <c r="M161" s="66"/>
      <c r="N161" s="52"/>
      <c r="O161" s="15"/>
    </row>
    <row r="162" spans="1:15" s="1" customFormat="1" ht="12.75" customHeight="1" x14ac:dyDescent="0.2">
      <c r="A162" s="52"/>
      <c r="B162" s="42" t="s">
        <v>46</v>
      </c>
      <c r="C162" s="42"/>
      <c r="D162" s="43">
        <v>13500</v>
      </c>
      <c r="E162" s="43"/>
      <c r="F162" s="43">
        <v>-13500</v>
      </c>
      <c r="G162" s="43"/>
      <c r="H162" s="65" t="s">
        <v>354</v>
      </c>
      <c r="I162" s="65"/>
      <c r="J162" s="65" t="s">
        <v>355</v>
      </c>
      <c r="K162" s="65"/>
      <c r="L162" s="66" t="e">
        <f t="shared" si="4"/>
        <v>#VALUE!</v>
      </c>
      <c r="M162" s="66"/>
      <c r="N162" s="52"/>
      <c r="O162" s="15"/>
    </row>
    <row r="163" spans="1:15" s="1" customFormat="1" ht="12.75" customHeight="1" x14ac:dyDescent="0.2">
      <c r="A163" s="52"/>
      <c r="B163" s="42" t="s">
        <v>47</v>
      </c>
      <c r="C163" s="42"/>
      <c r="D163" s="43">
        <v>14500</v>
      </c>
      <c r="E163" s="43"/>
      <c r="F163" s="43">
        <v>-14500</v>
      </c>
      <c r="G163" s="43"/>
      <c r="H163" s="65" t="s">
        <v>356</v>
      </c>
      <c r="I163" s="65"/>
      <c r="J163" s="65" t="s">
        <v>357</v>
      </c>
      <c r="K163" s="65"/>
      <c r="L163" s="66" t="e">
        <f t="shared" si="4"/>
        <v>#VALUE!</v>
      </c>
      <c r="M163" s="66"/>
      <c r="N163" s="52"/>
      <c r="O163" s="15"/>
    </row>
    <row r="164" spans="1:15" s="1" customFormat="1" ht="12.75" customHeight="1" x14ac:dyDescent="0.2">
      <c r="A164" s="52"/>
      <c r="B164" s="42" t="s">
        <v>48</v>
      </c>
      <c r="C164" s="42"/>
      <c r="D164" s="43">
        <v>40000</v>
      </c>
      <c r="E164" s="43"/>
      <c r="F164" s="43">
        <v>-40000</v>
      </c>
      <c r="G164" s="43"/>
      <c r="H164" s="65" t="s">
        <v>358</v>
      </c>
      <c r="I164" s="65"/>
      <c r="J164" s="65" t="s">
        <v>359</v>
      </c>
      <c r="K164" s="65"/>
      <c r="L164" s="66" t="e">
        <f t="shared" si="4"/>
        <v>#VALUE!</v>
      </c>
      <c r="M164" s="66"/>
      <c r="N164" s="52"/>
      <c r="O164" s="15"/>
    </row>
    <row r="165" spans="1:15" s="1" customFormat="1" ht="12.75" customHeight="1" x14ac:dyDescent="0.2">
      <c r="A165" s="52"/>
      <c r="B165" s="61" t="s">
        <v>49</v>
      </c>
      <c r="C165" s="62"/>
      <c r="D165" s="43">
        <v>4.5</v>
      </c>
      <c r="E165" s="43"/>
      <c r="F165" s="43">
        <v>-4.5</v>
      </c>
      <c r="G165" s="43"/>
      <c r="H165" s="65" t="s">
        <v>360</v>
      </c>
      <c r="I165" s="65"/>
      <c r="J165" s="65" t="s">
        <v>361</v>
      </c>
      <c r="K165" s="65"/>
      <c r="L165" s="66" t="e">
        <f t="shared" si="4"/>
        <v>#VALUE!</v>
      </c>
      <c r="M165" s="66"/>
      <c r="N165" s="52"/>
      <c r="O165" s="15"/>
    </row>
    <row r="166" spans="1:15" s="1" customFormat="1" ht="12.75" customHeight="1" x14ac:dyDescent="0.2">
      <c r="A166" s="52"/>
      <c r="B166" s="61" t="s">
        <v>50</v>
      </c>
      <c r="C166" s="62"/>
      <c r="D166" s="43">
        <v>13.5</v>
      </c>
      <c r="E166" s="43"/>
      <c r="F166" s="43">
        <v>-13.5</v>
      </c>
      <c r="G166" s="43"/>
      <c r="H166" s="65" t="s">
        <v>362</v>
      </c>
      <c r="I166" s="65"/>
      <c r="J166" s="65" t="s">
        <v>363</v>
      </c>
      <c r="K166" s="65"/>
      <c r="L166" s="66" t="e">
        <f t="shared" si="4"/>
        <v>#VALUE!</v>
      </c>
      <c r="M166" s="66"/>
      <c r="N166" s="52"/>
      <c r="O166" s="15"/>
    </row>
    <row r="167" spans="1:15" s="1" customFormat="1" ht="12.75" customHeight="1" x14ac:dyDescent="0.2">
      <c r="A167" s="52"/>
      <c r="B167" s="61" t="s">
        <v>51</v>
      </c>
      <c r="C167" s="62"/>
      <c r="D167" s="43">
        <v>14.5</v>
      </c>
      <c r="E167" s="43"/>
      <c r="F167" s="43">
        <v>-14.5</v>
      </c>
      <c r="G167" s="43"/>
      <c r="H167" s="65" t="s">
        <v>364</v>
      </c>
      <c r="I167" s="65"/>
      <c r="J167" s="65" t="s">
        <v>365</v>
      </c>
      <c r="K167" s="65"/>
      <c r="L167" s="66" t="e">
        <f t="shared" si="4"/>
        <v>#VALUE!</v>
      </c>
      <c r="M167" s="66"/>
      <c r="N167" s="52"/>
      <c r="O167" s="15"/>
    </row>
    <row r="168" spans="1:15" s="1" customFormat="1" ht="12.75" customHeight="1" x14ac:dyDescent="0.2">
      <c r="A168" s="52"/>
      <c r="B168" s="61" t="s">
        <v>3</v>
      </c>
      <c r="C168" s="62"/>
      <c r="D168" s="43">
        <v>45</v>
      </c>
      <c r="E168" s="43"/>
      <c r="F168" s="43">
        <v>-45</v>
      </c>
      <c r="G168" s="43"/>
      <c r="H168" s="65" t="s">
        <v>366</v>
      </c>
      <c r="I168" s="65"/>
      <c r="J168" s="65" t="s">
        <v>367</v>
      </c>
      <c r="K168" s="65"/>
      <c r="L168" s="66" t="e">
        <f t="shared" si="4"/>
        <v>#VALUE!</v>
      </c>
      <c r="M168" s="66"/>
      <c r="N168" s="52"/>
      <c r="O168" s="15"/>
    </row>
    <row r="169" spans="1:15" s="1" customFormat="1" ht="12.75" customHeight="1" x14ac:dyDescent="0.2">
      <c r="A169" s="52"/>
      <c r="B169" s="61" t="s">
        <v>52</v>
      </c>
      <c r="C169" s="62"/>
      <c r="D169" s="43">
        <v>50</v>
      </c>
      <c r="E169" s="43"/>
      <c r="F169" s="43">
        <v>-50</v>
      </c>
      <c r="G169" s="43"/>
      <c r="H169" s="65" t="s">
        <v>368</v>
      </c>
      <c r="I169" s="65"/>
      <c r="J169" s="65" t="s">
        <v>369</v>
      </c>
      <c r="K169" s="65"/>
      <c r="L169" s="66" t="e">
        <f t="shared" si="4"/>
        <v>#VALUE!</v>
      </c>
      <c r="M169" s="66"/>
      <c r="N169" s="52"/>
      <c r="O169" s="15"/>
    </row>
    <row r="170" spans="1:15" s="1" customFormat="1" ht="12.75" customHeight="1" x14ac:dyDescent="0.2">
      <c r="A170" s="52"/>
      <c r="B170" s="61" t="s">
        <v>604</v>
      </c>
      <c r="C170" s="62"/>
      <c r="D170" s="43">
        <v>135</v>
      </c>
      <c r="E170" s="43"/>
      <c r="F170" s="43">
        <v>-135</v>
      </c>
      <c r="G170" s="43"/>
      <c r="H170" s="65" t="s">
        <v>370</v>
      </c>
      <c r="I170" s="65"/>
      <c r="J170" s="65" t="s">
        <v>371</v>
      </c>
      <c r="K170" s="65"/>
      <c r="L170" s="66" t="e">
        <f t="shared" si="4"/>
        <v>#VALUE!</v>
      </c>
      <c r="M170" s="66"/>
      <c r="N170" s="52"/>
      <c r="O170" s="15"/>
    </row>
    <row r="171" spans="1:15" s="1" customFormat="1" ht="12.75" customHeight="1" x14ac:dyDescent="0.2">
      <c r="A171" s="52"/>
      <c r="B171" s="61" t="s">
        <v>53</v>
      </c>
      <c r="C171" s="62"/>
      <c r="D171" s="43">
        <v>145</v>
      </c>
      <c r="E171" s="43"/>
      <c r="F171" s="43">
        <v>-145</v>
      </c>
      <c r="G171" s="43"/>
      <c r="H171" s="65" t="s">
        <v>372</v>
      </c>
      <c r="I171" s="65"/>
      <c r="J171" s="65" t="s">
        <v>373</v>
      </c>
      <c r="K171" s="65"/>
      <c r="L171" s="66" t="e">
        <f t="shared" si="4"/>
        <v>#VALUE!</v>
      </c>
      <c r="M171" s="66"/>
      <c r="N171" s="52"/>
      <c r="O171" s="15"/>
    </row>
    <row r="172" spans="1:15" s="1" customFormat="1" ht="12.75" customHeight="1" x14ac:dyDescent="0.2">
      <c r="A172" s="52"/>
      <c r="B172" s="61" t="s">
        <v>54</v>
      </c>
      <c r="C172" s="62"/>
      <c r="D172" s="43">
        <v>320</v>
      </c>
      <c r="E172" s="43"/>
      <c r="F172" s="43">
        <v>-320</v>
      </c>
      <c r="G172" s="43"/>
      <c r="H172" s="65" t="s">
        <v>374</v>
      </c>
      <c r="I172" s="65"/>
      <c r="J172" s="65" t="s">
        <v>375</v>
      </c>
      <c r="K172" s="65"/>
      <c r="L172" s="66" t="e">
        <f t="shared" si="4"/>
        <v>#VALUE!</v>
      </c>
      <c r="M172" s="66"/>
      <c r="N172" s="52"/>
      <c r="O172" s="15"/>
    </row>
    <row r="173" spans="1:15" s="1" customFormat="1" ht="12.75" customHeight="1" x14ac:dyDescent="0.2">
      <c r="A173" s="52"/>
      <c r="B173" s="61" t="s">
        <v>2</v>
      </c>
      <c r="C173" s="62"/>
      <c r="D173" s="63">
        <v>450</v>
      </c>
      <c r="E173" s="64"/>
      <c r="F173" s="63">
        <v>-450</v>
      </c>
      <c r="G173" s="64"/>
      <c r="H173" s="65" t="s">
        <v>376</v>
      </c>
      <c r="I173" s="65"/>
      <c r="J173" s="65" t="s">
        <v>377</v>
      </c>
      <c r="K173" s="65"/>
      <c r="L173" s="66" t="e">
        <f t="shared" si="4"/>
        <v>#VALUE!</v>
      </c>
      <c r="M173" s="66"/>
      <c r="N173" s="52"/>
      <c r="O173" s="15"/>
    </row>
    <row r="174" spans="1:15" s="1" customFormat="1" ht="12.75" customHeight="1" x14ac:dyDescent="0.2">
      <c r="A174" s="52"/>
      <c r="B174" s="61" t="s">
        <v>55</v>
      </c>
      <c r="C174" s="62"/>
      <c r="D174" s="63">
        <v>500</v>
      </c>
      <c r="E174" s="64"/>
      <c r="F174" s="63">
        <v>-500</v>
      </c>
      <c r="G174" s="64"/>
      <c r="H174" s="65" t="s">
        <v>378</v>
      </c>
      <c r="I174" s="65"/>
      <c r="J174" s="65" t="s">
        <v>379</v>
      </c>
      <c r="K174" s="65"/>
      <c r="L174" s="66" t="e">
        <f t="shared" si="4"/>
        <v>#VALUE!</v>
      </c>
      <c r="M174" s="66"/>
      <c r="N174" s="52"/>
      <c r="O174" s="15"/>
    </row>
    <row r="175" spans="1:15" s="1" customFormat="1" ht="12.75" customHeight="1" x14ac:dyDescent="0.2">
      <c r="A175" s="52"/>
      <c r="B175" s="61" t="s">
        <v>56</v>
      </c>
      <c r="C175" s="62"/>
      <c r="D175" s="63">
        <v>790</v>
      </c>
      <c r="E175" s="64"/>
      <c r="F175" s="63">
        <v>-790</v>
      </c>
      <c r="G175" s="64"/>
      <c r="H175" s="65" t="s">
        <v>380</v>
      </c>
      <c r="I175" s="65"/>
      <c r="J175" s="65" t="s">
        <v>381</v>
      </c>
      <c r="K175" s="65"/>
      <c r="L175" s="66" t="e">
        <f t="shared" si="4"/>
        <v>#VALUE!</v>
      </c>
      <c r="M175" s="66"/>
      <c r="N175" s="52"/>
      <c r="O175" s="15"/>
    </row>
    <row r="176" spans="1:15" s="1" customFormat="1" ht="12.75" customHeight="1" x14ac:dyDescent="0.2">
      <c r="A176" s="52"/>
      <c r="B176" s="61" t="s">
        <v>57</v>
      </c>
      <c r="C176" s="62"/>
      <c r="D176" s="63">
        <v>810</v>
      </c>
      <c r="E176" s="64"/>
      <c r="F176" s="63">
        <v>-810</v>
      </c>
      <c r="G176" s="64"/>
      <c r="H176" s="65" t="s">
        <v>382</v>
      </c>
      <c r="I176" s="65"/>
      <c r="J176" s="65" t="s">
        <v>383</v>
      </c>
      <c r="K176" s="65"/>
      <c r="L176" s="66" t="e">
        <f t="shared" si="4"/>
        <v>#VALUE!</v>
      </c>
      <c r="M176" s="66"/>
      <c r="N176" s="52"/>
      <c r="O176" s="15"/>
    </row>
    <row r="177" spans="1:15" s="1" customFormat="1" ht="12.75" customHeight="1" x14ac:dyDescent="0.2">
      <c r="A177" s="52"/>
      <c r="B177" s="61" t="s">
        <v>58</v>
      </c>
      <c r="C177" s="62"/>
      <c r="D177" s="63">
        <v>1350</v>
      </c>
      <c r="E177" s="64"/>
      <c r="F177" s="63">
        <v>-1350</v>
      </c>
      <c r="G177" s="64"/>
      <c r="H177" s="65" t="s">
        <v>384</v>
      </c>
      <c r="I177" s="65"/>
      <c r="J177" s="65" t="s">
        <v>385</v>
      </c>
      <c r="K177" s="65"/>
      <c r="L177" s="66" t="e">
        <f t="shared" si="4"/>
        <v>#VALUE!</v>
      </c>
      <c r="M177" s="66"/>
      <c r="N177" s="52"/>
      <c r="O177" s="15"/>
    </row>
    <row r="178" spans="1:15" s="1" customFormat="1" ht="12.75" customHeight="1" x14ac:dyDescent="0.2">
      <c r="A178" s="52"/>
      <c r="B178" s="61" t="s">
        <v>59</v>
      </c>
      <c r="C178" s="62"/>
      <c r="D178" s="63">
        <v>1450</v>
      </c>
      <c r="E178" s="64"/>
      <c r="F178" s="63">
        <v>-1450</v>
      </c>
      <c r="G178" s="64"/>
      <c r="H178" s="65" t="s">
        <v>386</v>
      </c>
      <c r="I178" s="65"/>
      <c r="J178" s="65" t="s">
        <v>387</v>
      </c>
      <c r="K178" s="65"/>
      <c r="L178" s="66" t="e">
        <f t="shared" si="4"/>
        <v>#VALUE!</v>
      </c>
      <c r="M178" s="66"/>
      <c r="N178" s="52"/>
      <c r="O178" s="15"/>
    </row>
    <row r="179" spans="1:15" s="1" customFormat="1" ht="12.75" customHeight="1" x14ac:dyDescent="0.2">
      <c r="A179" s="52"/>
      <c r="B179" s="61" t="s">
        <v>60</v>
      </c>
      <c r="C179" s="62"/>
      <c r="D179" s="63">
        <v>2500</v>
      </c>
      <c r="E179" s="64"/>
      <c r="F179" s="63">
        <v>-2500</v>
      </c>
      <c r="G179" s="64"/>
      <c r="H179" s="65" t="s">
        <v>388</v>
      </c>
      <c r="I179" s="65"/>
      <c r="J179" s="65" t="s">
        <v>389</v>
      </c>
      <c r="K179" s="65"/>
      <c r="L179" s="66" t="e">
        <f t="shared" si="4"/>
        <v>#VALUE!</v>
      </c>
      <c r="M179" s="66"/>
      <c r="N179" s="52"/>
      <c r="O179" s="15"/>
    </row>
    <row r="180" spans="1:15" s="1" customFormat="1" ht="12.75" customHeight="1" x14ac:dyDescent="0.2">
      <c r="A180" s="52"/>
      <c r="B180" s="61" t="s">
        <v>61</v>
      </c>
      <c r="C180" s="62"/>
      <c r="D180" s="63">
        <v>2600</v>
      </c>
      <c r="E180" s="64"/>
      <c r="F180" s="63">
        <v>-2600</v>
      </c>
      <c r="G180" s="64"/>
      <c r="H180" s="65" t="s">
        <v>390</v>
      </c>
      <c r="I180" s="65"/>
      <c r="J180" s="65" t="s">
        <v>391</v>
      </c>
      <c r="K180" s="65"/>
      <c r="L180" s="66" t="e">
        <f t="shared" si="4"/>
        <v>#VALUE!</v>
      </c>
      <c r="M180" s="66"/>
      <c r="N180" s="52"/>
      <c r="O180" s="15"/>
    </row>
    <row r="181" spans="1:15" s="1" customFormat="1" ht="12.75" customHeight="1" x14ac:dyDescent="0.2">
      <c r="A181" s="53"/>
      <c r="B181" s="61" t="s">
        <v>62</v>
      </c>
      <c r="C181" s="62"/>
      <c r="D181" s="63">
        <v>4500</v>
      </c>
      <c r="E181" s="64"/>
      <c r="F181" s="63">
        <v>-4500</v>
      </c>
      <c r="G181" s="64"/>
      <c r="H181" s="65" t="s">
        <v>392</v>
      </c>
      <c r="I181" s="65"/>
      <c r="J181" s="65" t="s">
        <v>393</v>
      </c>
      <c r="K181" s="65"/>
      <c r="L181" s="66" t="e">
        <f t="shared" si="4"/>
        <v>#VALUE!</v>
      </c>
      <c r="M181" s="66"/>
      <c r="N181" s="53"/>
      <c r="O181" s="15"/>
    </row>
    <row r="182" spans="1:15" s="1" customFormat="1" ht="6" customHeight="1" x14ac:dyDescent="0.2">
      <c r="A182" s="18"/>
      <c r="B182" s="18"/>
      <c r="C182" s="18"/>
      <c r="D182" s="24"/>
      <c r="E182" s="24"/>
      <c r="F182" s="24"/>
      <c r="G182" s="24"/>
      <c r="H182" s="25"/>
      <c r="I182" s="25"/>
      <c r="J182" s="25"/>
      <c r="K182" s="25"/>
      <c r="L182" s="26"/>
      <c r="M182" s="26"/>
      <c r="N182" s="18"/>
      <c r="O182" s="15"/>
    </row>
    <row r="183" spans="1:15" s="1" customFormat="1" ht="13.5" x14ac:dyDescent="0.2">
      <c r="A183" s="27" t="s">
        <v>68</v>
      </c>
      <c r="B183" s="18"/>
      <c r="C183" s="18"/>
      <c r="D183" s="24"/>
      <c r="E183" s="24"/>
      <c r="F183" s="24"/>
      <c r="G183" s="24"/>
      <c r="H183" s="25"/>
      <c r="I183" s="25"/>
      <c r="J183" s="25"/>
      <c r="K183" s="25"/>
      <c r="L183" s="26"/>
      <c r="M183" s="26"/>
      <c r="N183" s="18"/>
      <c r="O183" s="15"/>
    </row>
    <row r="184" spans="1:15" s="1" customFormat="1" ht="6" customHeight="1" x14ac:dyDescent="0.2">
      <c r="A184" s="18"/>
      <c r="B184" s="18"/>
      <c r="C184" s="18"/>
      <c r="D184" s="24"/>
      <c r="E184" s="24"/>
      <c r="F184" s="24"/>
      <c r="G184" s="24"/>
      <c r="H184" s="25"/>
      <c r="I184" s="25"/>
      <c r="J184" s="25"/>
      <c r="K184" s="25"/>
      <c r="L184" s="26"/>
      <c r="M184" s="26"/>
      <c r="N184" s="18"/>
      <c r="O184" s="15"/>
    </row>
    <row r="185" spans="1:15" s="1" customFormat="1" ht="63" customHeight="1" x14ac:dyDescent="0.2">
      <c r="A185" s="16" t="s">
        <v>12</v>
      </c>
      <c r="B185" s="45" t="s">
        <v>0</v>
      </c>
      <c r="C185" s="45"/>
      <c r="D185" s="45" t="s">
        <v>69</v>
      </c>
      <c r="E185" s="45"/>
      <c r="F185" s="44" t="s">
        <v>70</v>
      </c>
      <c r="G185" s="44"/>
      <c r="H185" s="44" t="s">
        <v>71</v>
      </c>
      <c r="I185" s="44"/>
      <c r="J185" s="46" t="s">
        <v>72</v>
      </c>
      <c r="K185" s="46"/>
      <c r="L185" s="28"/>
      <c r="M185" s="28"/>
      <c r="N185" s="29"/>
      <c r="O185" s="15"/>
    </row>
    <row r="186" spans="1:15" s="1" customFormat="1" ht="12.75" customHeight="1" x14ac:dyDescent="0.2">
      <c r="A186" s="45">
        <v>1</v>
      </c>
      <c r="B186" s="42" t="s">
        <v>36</v>
      </c>
      <c r="C186" s="42"/>
      <c r="D186" s="42">
        <v>0</v>
      </c>
      <c r="E186" s="42"/>
      <c r="F186" s="47" t="s">
        <v>407</v>
      </c>
      <c r="G186" s="47"/>
      <c r="H186" s="47" t="e">
        <f>(D186-F186)*1000</f>
        <v>#VALUE!</v>
      </c>
      <c r="I186" s="47"/>
      <c r="J186" s="42" t="s">
        <v>74</v>
      </c>
      <c r="K186" s="42"/>
      <c r="L186" s="26"/>
      <c r="M186" s="26"/>
      <c r="N186" s="18"/>
      <c r="O186" s="15"/>
    </row>
    <row r="187" spans="1:15" s="1" customFormat="1" ht="12.75" customHeight="1" x14ac:dyDescent="0.2">
      <c r="A187" s="45"/>
      <c r="B187" s="42"/>
      <c r="C187" s="42"/>
      <c r="D187" s="42">
        <v>1</v>
      </c>
      <c r="E187" s="42"/>
      <c r="F187" s="47" t="s">
        <v>408</v>
      </c>
      <c r="G187" s="47"/>
      <c r="H187" s="47" t="e">
        <f t="shared" ref="H187:H209" si="5">(D187-F187)*1000</f>
        <v>#VALUE!</v>
      </c>
      <c r="I187" s="47"/>
      <c r="J187" s="42" t="s">
        <v>75</v>
      </c>
      <c r="K187" s="42"/>
      <c r="L187" s="26"/>
      <c r="M187" s="26"/>
      <c r="N187" s="18"/>
      <c r="O187" s="15"/>
    </row>
    <row r="188" spans="1:15" s="1" customFormat="1" ht="12.75" customHeight="1" x14ac:dyDescent="0.2">
      <c r="A188" s="45"/>
      <c r="B188" s="42"/>
      <c r="C188" s="42"/>
      <c r="D188" s="42">
        <v>-1</v>
      </c>
      <c r="E188" s="42"/>
      <c r="F188" s="47" t="s">
        <v>409</v>
      </c>
      <c r="G188" s="47"/>
      <c r="H188" s="47" t="e">
        <f t="shared" si="5"/>
        <v>#VALUE!</v>
      </c>
      <c r="I188" s="47"/>
      <c r="J188" s="42"/>
      <c r="K188" s="42"/>
      <c r="L188" s="26"/>
      <c r="M188" s="26"/>
      <c r="N188" s="18"/>
      <c r="O188" s="15"/>
    </row>
    <row r="189" spans="1:15" s="1" customFormat="1" ht="12.75" customHeight="1" x14ac:dyDescent="0.2">
      <c r="A189" s="45"/>
      <c r="B189" s="42" t="s">
        <v>5</v>
      </c>
      <c r="C189" s="42"/>
      <c r="D189" s="42">
        <v>0</v>
      </c>
      <c r="E189" s="42"/>
      <c r="F189" s="47" t="s">
        <v>410</v>
      </c>
      <c r="G189" s="47"/>
      <c r="H189" s="47" t="e">
        <f t="shared" si="5"/>
        <v>#VALUE!</v>
      </c>
      <c r="I189" s="47"/>
      <c r="J189" s="42" t="s">
        <v>76</v>
      </c>
      <c r="K189" s="42"/>
      <c r="L189" s="26"/>
      <c r="M189" s="26"/>
      <c r="N189" s="18"/>
      <c r="O189" s="15"/>
    </row>
    <row r="190" spans="1:15" s="1" customFormat="1" ht="12.75" customHeight="1" x14ac:dyDescent="0.2">
      <c r="A190" s="45"/>
      <c r="B190" s="42"/>
      <c r="C190" s="42"/>
      <c r="D190" s="42">
        <v>1</v>
      </c>
      <c r="E190" s="42"/>
      <c r="F190" s="47" t="s">
        <v>411</v>
      </c>
      <c r="G190" s="47"/>
      <c r="H190" s="47" t="e">
        <f t="shared" si="5"/>
        <v>#VALUE!</v>
      </c>
      <c r="I190" s="47"/>
      <c r="J190" s="42" t="s">
        <v>77</v>
      </c>
      <c r="K190" s="42"/>
      <c r="L190" s="26"/>
      <c r="M190" s="26"/>
      <c r="N190" s="18"/>
      <c r="O190" s="15"/>
    </row>
    <row r="191" spans="1:15" s="1" customFormat="1" ht="12.75" customHeight="1" x14ac:dyDescent="0.2">
      <c r="A191" s="45"/>
      <c r="B191" s="42"/>
      <c r="C191" s="42"/>
      <c r="D191" s="42">
        <v>-1</v>
      </c>
      <c r="E191" s="42"/>
      <c r="F191" s="47" t="s">
        <v>412</v>
      </c>
      <c r="G191" s="47"/>
      <c r="H191" s="47" t="e">
        <f t="shared" si="5"/>
        <v>#VALUE!</v>
      </c>
      <c r="I191" s="47"/>
      <c r="J191" s="42"/>
      <c r="K191" s="42"/>
      <c r="L191" s="26"/>
      <c r="M191" s="26"/>
      <c r="N191" s="18"/>
      <c r="O191" s="15"/>
    </row>
    <row r="192" spans="1:15" s="1" customFormat="1" ht="12.75" customHeight="1" x14ac:dyDescent="0.2">
      <c r="A192" s="45"/>
      <c r="B192" s="42" t="s">
        <v>90</v>
      </c>
      <c r="C192" s="42"/>
      <c r="D192" s="42">
        <v>0</v>
      </c>
      <c r="E192" s="42"/>
      <c r="F192" s="47" t="s">
        <v>413</v>
      </c>
      <c r="G192" s="47"/>
      <c r="H192" s="47" t="e">
        <f t="shared" si="5"/>
        <v>#VALUE!</v>
      </c>
      <c r="I192" s="47"/>
      <c r="J192" s="42" t="s">
        <v>78</v>
      </c>
      <c r="K192" s="42"/>
      <c r="L192" s="26"/>
      <c r="M192" s="26"/>
      <c r="N192" s="18"/>
      <c r="O192" s="15"/>
    </row>
    <row r="193" spans="1:15" s="1" customFormat="1" ht="12.75" customHeight="1" x14ac:dyDescent="0.2">
      <c r="A193" s="45"/>
      <c r="B193" s="42"/>
      <c r="C193" s="42"/>
      <c r="D193" s="42">
        <v>0.5</v>
      </c>
      <c r="E193" s="42"/>
      <c r="F193" s="47" t="s">
        <v>414</v>
      </c>
      <c r="G193" s="47"/>
      <c r="H193" s="47" t="e">
        <f t="shared" si="5"/>
        <v>#VALUE!</v>
      </c>
      <c r="I193" s="47"/>
      <c r="J193" s="42" t="s">
        <v>79</v>
      </c>
      <c r="K193" s="42"/>
      <c r="L193" s="26"/>
      <c r="M193" s="26"/>
      <c r="N193" s="18"/>
      <c r="O193" s="15"/>
    </row>
    <row r="194" spans="1:15" s="1" customFormat="1" ht="12.75" customHeight="1" x14ac:dyDescent="0.2">
      <c r="A194" s="45"/>
      <c r="B194" s="42"/>
      <c r="C194" s="42"/>
      <c r="D194" s="42">
        <v>-0.5</v>
      </c>
      <c r="E194" s="42"/>
      <c r="F194" s="47" t="s">
        <v>415</v>
      </c>
      <c r="G194" s="47"/>
      <c r="H194" s="47" t="e">
        <f t="shared" si="5"/>
        <v>#VALUE!</v>
      </c>
      <c r="I194" s="47"/>
      <c r="J194" s="42"/>
      <c r="K194" s="42"/>
      <c r="L194" s="26"/>
      <c r="M194" s="26"/>
      <c r="N194" s="18"/>
      <c r="O194" s="15"/>
    </row>
    <row r="195" spans="1:15" s="1" customFormat="1" ht="12.75" customHeight="1" x14ac:dyDescent="0.2">
      <c r="A195" s="45"/>
      <c r="B195" s="42" t="s">
        <v>4</v>
      </c>
      <c r="C195" s="42"/>
      <c r="D195" s="42">
        <v>0</v>
      </c>
      <c r="E195" s="42"/>
      <c r="F195" s="47" t="s">
        <v>416</v>
      </c>
      <c r="G195" s="47"/>
      <c r="H195" s="47" t="e">
        <f t="shared" si="5"/>
        <v>#VALUE!</v>
      </c>
      <c r="I195" s="47"/>
      <c r="J195" s="42" t="s">
        <v>80</v>
      </c>
      <c r="K195" s="42"/>
      <c r="L195" s="26"/>
      <c r="M195" s="26"/>
      <c r="N195" s="18"/>
      <c r="O195" s="15"/>
    </row>
    <row r="196" spans="1:15" s="1" customFormat="1" ht="12.75" customHeight="1" x14ac:dyDescent="0.2">
      <c r="A196" s="45"/>
      <c r="B196" s="42"/>
      <c r="C196" s="42"/>
      <c r="D196" s="42">
        <v>0.5</v>
      </c>
      <c r="E196" s="42"/>
      <c r="F196" s="47" t="s">
        <v>417</v>
      </c>
      <c r="G196" s="47"/>
      <c r="H196" s="47" t="e">
        <f t="shared" si="5"/>
        <v>#VALUE!</v>
      </c>
      <c r="I196" s="47"/>
      <c r="J196" s="42" t="s">
        <v>81</v>
      </c>
      <c r="K196" s="42"/>
      <c r="L196" s="26"/>
      <c r="M196" s="26"/>
      <c r="N196" s="18"/>
      <c r="O196" s="15"/>
    </row>
    <row r="197" spans="1:15" s="1" customFormat="1" ht="12.75" customHeight="1" x14ac:dyDescent="0.2">
      <c r="A197" s="45"/>
      <c r="B197" s="42"/>
      <c r="C197" s="42"/>
      <c r="D197" s="42">
        <v>-0.5</v>
      </c>
      <c r="E197" s="42"/>
      <c r="F197" s="47" t="s">
        <v>418</v>
      </c>
      <c r="G197" s="47"/>
      <c r="H197" s="47" t="e">
        <f t="shared" si="5"/>
        <v>#VALUE!</v>
      </c>
      <c r="I197" s="47"/>
      <c r="J197" s="42"/>
      <c r="K197" s="42"/>
      <c r="L197" s="26"/>
      <c r="M197" s="26"/>
      <c r="N197" s="18"/>
      <c r="O197" s="15"/>
    </row>
    <row r="198" spans="1:15" s="1" customFormat="1" ht="12.75" customHeight="1" x14ac:dyDescent="0.2">
      <c r="A198" s="45"/>
      <c r="B198" s="42" t="s">
        <v>42</v>
      </c>
      <c r="C198" s="42"/>
      <c r="D198" s="42">
        <v>0</v>
      </c>
      <c r="E198" s="42"/>
      <c r="F198" s="47" t="s">
        <v>419</v>
      </c>
      <c r="G198" s="47"/>
      <c r="H198" s="47" t="e">
        <f t="shared" si="5"/>
        <v>#VALUE!</v>
      </c>
      <c r="I198" s="47"/>
      <c r="J198" s="42" t="s">
        <v>82</v>
      </c>
      <c r="K198" s="42"/>
      <c r="L198" s="26"/>
      <c r="M198" s="26"/>
      <c r="N198" s="18"/>
      <c r="O198" s="15"/>
    </row>
    <row r="199" spans="1:15" s="1" customFormat="1" ht="12.75" customHeight="1" x14ac:dyDescent="0.2">
      <c r="A199" s="45"/>
      <c r="B199" s="42"/>
      <c r="C199" s="42"/>
      <c r="D199" s="42">
        <v>5</v>
      </c>
      <c r="E199" s="42"/>
      <c r="F199" s="47" t="s">
        <v>420</v>
      </c>
      <c r="G199" s="47"/>
      <c r="H199" s="47" t="e">
        <f t="shared" si="5"/>
        <v>#VALUE!</v>
      </c>
      <c r="I199" s="47"/>
      <c r="J199" s="42" t="s">
        <v>83</v>
      </c>
      <c r="K199" s="42"/>
      <c r="L199" s="26"/>
      <c r="M199" s="26"/>
      <c r="N199" s="18"/>
      <c r="O199" s="15"/>
    </row>
    <row r="200" spans="1:15" s="1" customFormat="1" ht="12.75" customHeight="1" x14ac:dyDescent="0.2">
      <c r="A200" s="45"/>
      <c r="B200" s="42"/>
      <c r="C200" s="42"/>
      <c r="D200" s="42">
        <v>-5</v>
      </c>
      <c r="E200" s="42"/>
      <c r="F200" s="47" t="s">
        <v>421</v>
      </c>
      <c r="G200" s="47"/>
      <c r="H200" s="47" t="e">
        <f t="shared" si="5"/>
        <v>#VALUE!</v>
      </c>
      <c r="I200" s="47"/>
      <c r="J200" s="42"/>
      <c r="K200" s="42"/>
      <c r="L200" s="26"/>
      <c r="M200" s="26"/>
      <c r="N200" s="18"/>
      <c r="O200" s="15"/>
    </row>
    <row r="201" spans="1:15" s="1" customFormat="1" ht="12.75" customHeight="1" x14ac:dyDescent="0.2">
      <c r="A201" s="45"/>
      <c r="B201" s="42" t="s">
        <v>44</v>
      </c>
      <c r="C201" s="42"/>
      <c r="D201" s="42">
        <v>0</v>
      </c>
      <c r="E201" s="42"/>
      <c r="F201" s="47" t="s">
        <v>422</v>
      </c>
      <c r="G201" s="47"/>
      <c r="H201" s="47" t="e">
        <f t="shared" si="5"/>
        <v>#VALUE!</v>
      </c>
      <c r="I201" s="47"/>
      <c r="J201" s="42" t="s">
        <v>84</v>
      </c>
      <c r="K201" s="42"/>
      <c r="L201" s="26"/>
      <c r="M201" s="26"/>
      <c r="N201" s="18"/>
      <c r="O201" s="15"/>
    </row>
    <row r="202" spans="1:15" s="1" customFormat="1" ht="12.75" customHeight="1" x14ac:dyDescent="0.2">
      <c r="A202" s="45"/>
      <c r="B202" s="42"/>
      <c r="C202" s="42"/>
      <c r="D202" s="42">
        <v>5</v>
      </c>
      <c r="E202" s="42"/>
      <c r="F202" s="47" t="s">
        <v>423</v>
      </c>
      <c r="G202" s="47"/>
      <c r="H202" s="47" t="e">
        <f t="shared" si="5"/>
        <v>#VALUE!</v>
      </c>
      <c r="I202" s="47"/>
      <c r="J202" s="42" t="s">
        <v>85</v>
      </c>
      <c r="K202" s="42"/>
      <c r="L202" s="26"/>
      <c r="M202" s="26"/>
      <c r="N202" s="18"/>
      <c r="O202" s="15"/>
    </row>
    <row r="203" spans="1:15" s="1" customFormat="1" ht="12.75" customHeight="1" x14ac:dyDescent="0.2">
      <c r="A203" s="45"/>
      <c r="B203" s="42"/>
      <c r="C203" s="42"/>
      <c r="D203" s="42">
        <v>-5</v>
      </c>
      <c r="E203" s="42"/>
      <c r="F203" s="47" t="s">
        <v>424</v>
      </c>
      <c r="G203" s="47"/>
      <c r="H203" s="47" t="e">
        <f t="shared" si="5"/>
        <v>#VALUE!</v>
      </c>
      <c r="I203" s="47"/>
      <c r="J203" s="42"/>
      <c r="K203" s="42"/>
      <c r="L203" s="26"/>
      <c r="M203" s="26"/>
      <c r="N203" s="18"/>
      <c r="O203" s="15"/>
    </row>
    <row r="204" spans="1:15" s="1" customFormat="1" ht="12.75" customHeight="1" x14ac:dyDescent="0.2">
      <c r="A204" s="45"/>
      <c r="B204" s="42" t="s">
        <v>46</v>
      </c>
      <c r="C204" s="42"/>
      <c r="D204" s="42">
        <v>0</v>
      </c>
      <c r="E204" s="42"/>
      <c r="F204" s="47" t="s">
        <v>425</v>
      </c>
      <c r="G204" s="47"/>
      <c r="H204" s="47" t="e">
        <f t="shared" si="5"/>
        <v>#VALUE!</v>
      </c>
      <c r="I204" s="47"/>
      <c r="J204" s="42" t="s">
        <v>86</v>
      </c>
      <c r="K204" s="42"/>
      <c r="L204" s="26"/>
      <c r="M204" s="26"/>
      <c r="N204" s="18"/>
      <c r="O204" s="15"/>
    </row>
    <row r="205" spans="1:15" s="1" customFormat="1" ht="12.75" customHeight="1" x14ac:dyDescent="0.2">
      <c r="A205" s="45"/>
      <c r="B205" s="42"/>
      <c r="C205" s="42"/>
      <c r="D205" s="42">
        <v>40</v>
      </c>
      <c r="E205" s="42"/>
      <c r="F205" s="47" t="s">
        <v>426</v>
      </c>
      <c r="G205" s="47"/>
      <c r="H205" s="47" t="e">
        <f t="shared" si="5"/>
        <v>#VALUE!</v>
      </c>
      <c r="I205" s="47"/>
      <c r="J205" s="42" t="s">
        <v>87</v>
      </c>
      <c r="K205" s="42"/>
      <c r="L205" s="26"/>
      <c r="M205" s="26"/>
      <c r="N205" s="18"/>
      <c r="O205" s="15"/>
    </row>
    <row r="206" spans="1:15" s="1" customFormat="1" ht="12.75" customHeight="1" x14ac:dyDescent="0.2">
      <c r="A206" s="45"/>
      <c r="B206" s="42"/>
      <c r="C206" s="42"/>
      <c r="D206" s="42">
        <v>-40</v>
      </c>
      <c r="E206" s="42"/>
      <c r="F206" s="47" t="s">
        <v>427</v>
      </c>
      <c r="G206" s="47"/>
      <c r="H206" s="47" t="e">
        <f t="shared" si="5"/>
        <v>#VALUE!</v>
      </c>
      <c r="I206" s="47"/>
      <c r="J206" s="42"/>
      <c r="K206" s="42"/>
      <c r="L206" s="26"/>
      <c r="M206" s="26"/>
      <c r="N206" s="18"/>
      <c r="O206" s="15"/>
    </row>
    <row r="207" spans="1:15" s="1" customFormat="1" ht="12.75" customHeight="1" x14ac:dyDescent="0.2">
      <c r="A207" s="45"/>
      <c r="B207" s="42" t="s">
        <v>48</v>
      </c>
      <c r="C207" s="42"/>
      <c r="D207" s="42">
        <v>0</v>
      </c>
      <c r="E207" s="42"/>
      <c r="F207" s="47" t="s">
        <v>428</v>
      </c>
      <c r="G207" s="47"/>
      <c r="H207" s="47" t="e">
        <f t="shared" si="5"/>
        <v>#VALUE!</v>
      </c>
      <c r="I207" s="47"/>
      <c r="J207" s="42" t="s">
        <v>88</v>
      </c>
      <c r="K207" s="42"/>
      <c r="L207" s="26"/>
      <c r="M207" s="26"/>
      <c r="N207" s="18"/>
      <c r="O207" s="15"/>
    </row>
    <row r="208" spans="1:15" s="1" customFormat="1" ht="12.75" customHeight="1" x14ac:dyDescent="0.2">
      <c r="A208" s="45"/>
      <c r="B208" s="42"/>
      <c r="C208" s="42"/>
      <c r="D208" s="42">
        <v>40</v>
      </c>
      <c r="E208" s="42"/>
      <c r="F208" s="47" t="s">
        <v>429</v>
      </c>
      <c r="G208" s="47"/>
      <c r="H208" s="47" t="e">
        <f t="shared" si="5"/>
        <v>#VALUE!</v>
      </c>
      <c r="I208" s="47"/>
      <c r="J208" s="42" t="s">
        <v>89</v>
      </c>
      <c r="K208" s="42"/>
      <c r="L208" s="26"/>
      <c r="M208" s="26"/>
      <c r="N208" s="18"/>
      <c r="O208" s="15"/>
    </row>
    <row r="209" spans="1:15" s="1" customFormat="1" ht="12.75" customHeight="1" x14ac:dyDescent="0.2">
      <c r="A209" s="45"/>
      <c r="B209" s="42"/>
      <c r="C209" s="42"/>
      <c r="D209" s="42">
        <v>-40</v>
      </c>
      <c r="E209" s="42"/>
      <c r="F209" s="47" t="s">
        <v>430</v>
      </c>
      <c r="G209" s="47"/>
      <c r="H209" s="47" t="e">
        <f t="shared" si="5"/>
        <v>#VALUE!</v>
      </c>
      <c r="I209" s="47"/>
      <c r="J209" s="42"/>
      <c r="K209" s="42"/>
      <c r="L209" s="26"/>
      <c r="M209" s="26"/>
      <c r="N209" s="18"/>
      <c r="O209" s="15"/>
    </row>
    <row r="210" spans="1:15" s="1" customFormat="1" ht="12.75" customHeight="1" x14ac:dyDescent="0.2">
      <c r="A210" s="45"/>
      <c r="B210" s="42" t="s">
        <v>50</v>
      </c>
      <c r="C210" s="42"/>
      <c r="D210" s="42">
        <v>0</v>
      </c>
      <c r="E210" s="42"/>
      <c r="F210" s="47" t="s">
        <v>431</v>
      </c>
      <c r="G210" s="47"/>
      <c r="H210" s="47" t="e">
        <f>(D210-F210)*1000</f>
        <v>#VALUE!</v>
      </c>
      <c r="I210" s="47"/>
      <c r="J210" s="42" t="s">
        <v>74</v>
      </c>
      <c r="K210" s="42"/>
      <c r="L210" s="26"/>
      <c r="M210" s="26"/>
      <c r="N210" s="18"/>
      <c r="O210" s="15"/>
    </row>
    <row r="211" spans="1:15" s="1" customFormat="1" ht="12.75" customHeight="1" x14ac:dyDescent="0.2">
      <c r="A211" s="45"/>
      <c r="B211" s="42"/>
      <c r="C211" s="42"/>
      <c r="D211" s="42">
        <v>1</v>
      </c>
      <c r="E211" s="42"/>
      <c r="F211" s="47" t="s">
        <v>432</v>
      </c>
      <c r="G211" s="47"/>
      <c r="H211" s="47" t="e">
        <f t="shared" ref="H211:H234" si="6">(D211-F211)*1000</f>
        <v>#VALUE!</v>
      </c>
      <c r="I211" s="47"/>
      <c r="J211" s="42" t="s">
        <v>75</v>
      </c>
      <c r="K211" s="42"/>
      <c r="L211" s="26"/>
      <c r="M211" s="26"/>
      <c r="N211" s="18"/>
      <c r="O211" s="15"/>
    </row>
    <row r="212" spans="1:15" s="1" customFormat="1" ht="12.75" customHeight="1" x14ac:dyDescent="0.2">
      <c r="A212" s="45"/>
      <c r="B212" s="42"/>
      <c r="C212" s="42"/>
      <c r="D212" s="42">
        <v>-1</v>
      </c>
      <c r="E212" s="42"/>
      <c r="F212" s="47" t="s">
        <v>433</v>
      </c>
      <c r="G212" s="47"/>
      <c r="H212" s="47" t="e">
        <f t="shared" si="6"/>
        <v>#VALUE!</v>
      </c>
      <c r="I212" s="47"/>
      <c r="J212" s="42"/>
      <c r="K212" s="42"/>
      <c r="L212" s="26"/>
      <c r="M212" s="26"/>
      <c r="N212" s="18"/>
      <c r="O212" s="15"/>
    </row>
    <row r="213" spans="1:15" s="1" customFormat="1" ht="12.75" customHeight="1" x14ac:dyDescent="0.2">
      <c r="A213" s="45"/>
      <c r="B213" s="42" t="s">
        <v>3</v>
      </c>
      <c r="C213" s="42"/>
      <c r="D213" s="42">
        <v>0</v>
      </c>
      <c r="E213" s="42"/>
      <c r="F213" s="47" t="s">
        <v>434</v>
      </c>
      <c r="G213" s="47"/>
      <c r="H213" s="47" t="e">
        <f t="shared" si="6"/>
        <v>#VALUE!</v>
      </c>
      <c r="I213" s="47"/>
      <c r="J213" s="42" t="s">
        <v>76</v>
      </c>
      <c r="K213" s="42"/>
      <c r="L213" s="26"/>
      <c r="M213" s="26"/>
      <c r="N213" s="18"/>
      <c r="O213" s="15"/>
    </row>
    <row r="214" spans="1:15" s="1" customFormat="1" ht="12.75" customHeight="1" x14ac:dyDescent="0.2">
      <c r="A214" s="45"/>
      <c r="B214" s="42"/>
      <c r="C214" s="42"/>
      <c r="D214" s="42">
        <v>1</v>
      </c>
      <c r="E214" s="42"/>
      <c r="F214" s="47" t="s">
        <v>435</v>
      </c>
      <c r="G214" s="47"/>
      <c r="H214" s="47" t="e">
        <f t="shared" si="6"/>
        <v>#VALUE!</v>
      </c>
      <c r="I214" s="47"/>
      <c r="J214" s="42" t="s">
        <v>77</v>
      </c>
      <c r="K214" s="42"/>
      <c r="L214" s="26"/>
      <c r="M214" s="26"/>
      <c r="N214" s="18"/>
      <c r="O214" s="15"/>
    </row>
    <row r="215" spans="1:15" s="1" customFormat="1" ht="12.75" customHeight="1" x14ac:dyDescent="0.2">
      <c r="A215" s="45"/>
      <c r="B215" s="42"/>
      <c r="C215" s="42"/>
      <c r="D215" s="42">
        <v>-1</v>
      </c>
      <c r="E215" s="42"/>
      <c r="F215" s="47" t="s">
        <v>436</v>
      </c>
      <c r="G215" s="47"/>
      <c r="H215" s="47" t="e">
        <f t="shared" si="6"/>
        <v>#VALUE!</v>
      </c>
      <c r="I215" s="47"/>
      <c r="J215" s="42"/>
      <c r="K215" s="42"/>
      <c r="L215" s="26"/>
      <c r="M215" s="26"/>
      <c r="N215" s="18"/>
      <c r="O215" s="15"/>
    </row>
    <row r="216" spans="1:15" s="1" customFormat="1" ht="12.75" customHeight="1" x14ac:dyDescent="0.2">
      <c r="A216" s="45"/>
      <c r="B216" s="42" t="s">
        <v>91</v>
      </c>
      <c r="C216" s="42"/>
      <c r="D216" s="42">
        <v>0</v>
      </c>
      <c r="E216" s="42"/>
      <c r="F216" s="47" t="s">
        <v>437</v>
      </c>
      <c r="G216" s="47"/>
      <c r="H216" s="47" t="e">
        <f t="shared" si="6"/>
        <v>#VALUE!</v>
      </c>
      <c r="I216" s="47"/>
      <c r="J216" s="42" t="s">
        <v>78</v>
      </c>
      <c r="K216" s="42"/>
      <c r="L216" s="26"/>
      <c r="M216" s="26"/>
      <c r="N216" s="18"/>
      <c r="O216" s="15"/>
    </row>
    <row r="217" spans="1:15" s="1" customFormat="1" ht="12.75" customHeight="1" x14ac:dyDescent="0.2">
      <c r="A217" s="45"/>
      <c r="B217" s="42"/>
      <c r="C217" s="42"/>
      <c r="D217" s="42">
        <v>1</v>
      </c>
      <c r="E217" s="42"/>
      <c r="F217" s="47" t="s">
        <v>438</v>
      </c>
      <c r="G217" s="47"/>
      <c r="H217" s="47" t="e">
        <f t="shared" si="6"/>
        <v>#VALUE!</v>
      </c>
      <c r="I217" s="47"/>
      <c r="J217" s="42" t="s">
        <v>93</v>
      </c>
      <c r="K217" s="42"/>
      <c r="L217" s="26"/>
      <c r="M217" s="26"/>
      <c r="N217" s="18"/>
      <c r="O217" s="15"/>
    </row>
    <row r="218" spans="1:15" s="1" customFormat="1" ht="12.75" customHeight="1" x14ac:dyDescent="0.2">
      <c r="A218" s="45"/>
      <c r="B218" s="42"/>
      <c r="C218" s="42"/>
      <c r="D218" s="42">
        <v>-1</v>
      </c>
      <c r="E218" s="42"/>
      <c r="F218" s="47" t="s">
        <v>439</v>
      </c>
      <c r="G218" s="47"/>
      <c r="H218" s="47" t="e">
        <f t="shared" si="6"/>
        <v>#VALUE!</v>
      </c>
      <c r="I218" s="47"/>
      <c r="J218" s="42"/>
      <c r="K218" s="42"/>
      <c r="L218" s="26"/>
      <c r="M218" s="26"/>
      <c r="N218" s="18"/>
      <c r="O218" s="15"/>
    </row>
    <row r="219" spans="1:15" s="1" customFormat="1" ht="63" customHeight="1" x14ac:dyDescent="0.2">
      <c r="A219" s="16" t="s">
        <v>12</v>
      </c>
      <c r="B219" s="45" t="s">
        <v>0</v>
      </c>
      <c r="C219" s="45"/>
      <c r="D219" s="45" t="s">
        <v>69</v>
      </c>
      <c r="E219" s="45"/>
      <c r="F219" s="44" t="s">
        <v>70</v>
      </c>
      <c r="G219" s="44"/>
      <c r="H219" s="44" t="s">
        <v>71</v>
      </c>
      <c r="I219" s="44"/>
      <c r="J219" s="46" t="s">
        <v>72</v>
      </c>
      <c r="K219" s="46"/>
      <c r="L219" s="28"/>
      <c r="M219" s="28"/>
      <c r="N219" s="29"/>
      <c r="O219" s="15"/>
    </row>
    <row r="220" spans="1:15" s="1" customFormat="1" ht="13.5" x14ac:dyDescent="0.2">
      <c r="A220" s="45">
        <v>1</v>
      </c>
      <c r="B220" s="42" t="s">
        <v>2</v>
      </c>
      <c r="C220" s="42"/>
      <c r="D220" s="42">
        <v>0</v>
      </c>
      <c r="E220" s="42"/>
      <c r="F220" s="47" t="s">
        <v>440</v>
      </c>
      <c r="G220" s="47"/>
      <c r="H220" s="47" t="e">
        <f t="shared" si="6"/>
        <v>#VALUE!</v>
      </c>
      <c r="I220" s="47"/>
      <c r="J220" s="42" t="s">
        <v>80</v>
      </c>
      <c r="K220" s="42"/>
      <c r="L220" s="26"/>
      <c r="M220" s="26"/>
      <c r="N220" s="18"/>
      <c r="O220" s="15"/>
    </row>
    <row r="221" spans="1:15" s="1" customFormat="1" ht="13.5" x14ac:dyDescent="0.2">
      <c r="A221" s="45"/>
      <c r="B221" s="42"/>
      <c r="C221" s="42"/>
      <c r="D221" s="42">
        <v>1</v>
      </c>
      <c r="E221" s="42"/>
      <c r="F221" s="47" t="s">
        <v>441</v>
      </c>
      <c r="G221" s="47"/>
      <c r="H221" s="47" t="e">
        <f t="shared" si="6"/>
        <v>#VALUE!</v>
      </c>
      <c r="I221" s="47"/>
      <c r="J221" s="42" t="s">
        <v>94</v>
      </c>
      <c r="K221" s="42"/>
      <c r="L221" s="26"/>
      <c r="M221" s="26"/>
      <c r="N221" s="18"/>
      <c r="O221" s="15"/>
    </row>
    <row r="222" spans="1:15" s="1" customFormat="1" ht="13.5" x14ac:dyDescent="0.2">
      <c r="A222" s="45"/>
      <c r="B222" s="42"/>
      <c r="C222" s="42"/>
      <c r="D222" s="42">
        <v>-1</v>
      </c>
      <c r="E222" s="42"/>
      <c r="F222" s="47" t="s">
        <v>442</v>
      </c>
      <c r="G222" s="47"/>
      <c r="H222" s="47" t="e">
        <f t="shared" si="6"/>
        <v>#VALUE!</v>
      </c>
      <c r="I222" s="47"/>
      <c r="J222" s="42"/>
      <c r="K222" s="42"/>
      <c r="L222" s="26"/>
      <c r="M222" s="26"/>
      <c r="N222" s="18"/>
      <c r="O222" s="15"/>
    </row>
    <row r="223" spans="1:15" s="1" customFormat="1" ht="13.5" x14ac:dyDescent="0.2">
      <c r="A223" s="45"/>
      <c r="B223" s="42" t="s">
        <v>92</v>
      </c>
      <c r="C223" s="42"/>
      <c r="D223" s="42">
        <v>0</v>
      </c>
      <c r="E223" s="42"/>
      <c r="F223" s="47" t="s">
        <v>443</v>
      </c>
      <c r="G223" s="47"/>
      <c r="H223" s="47" t="e">
        <f t="shared" si="6"/>
        <v>#VALUE!</v>
      </c>
      <c r="I223" s="47"/>
      <c r="J223" s="42" t="s">
        <v>95</v>
      </c>
      <c r="K223" s="42"/>
      <c r="L223" s="26"/>
      <c r="M223" s="26"/>
      <c r="N223" s="18"/>
      <c r="O223" s="15"/>
    </row>
    <row r="224" spans="1:15" s="1" customFormat="1" ht="13.5" x14ac:dyDescent="0.2">
      <c r="A224" s="45"/>
      <c r="B224" s="42"/>
      <c r="C224" s="42"/>
      <c r="D224" s="42">
        <v>3</v>
      </c>
      <c r="E224" s="42"/>
      <c r="F224" s="47" t="s">
        <v>444</v>
      </c>
      <c r="G224" s="47"/>
      <c r="H224" s="47" t="e">
        <f t="shared" si="6"/>
        <v>#VALUE!</v>
      </c>
      <c r="I224" s="47"/>
      <c r="J224" s="42" t="s">
        <v>96</v>
      </c>
      <c r="K224" s="42"/>
      <c r="L224" s="26"/>
      <c r="M224" s="26"/>
      <c r="N224" s="18"/>
      <c r="O224" s="15"/>
    </row>
    <row r="225" spans="1:15" s="1" customFormat="1" ht="13.5" x14ac:dyDescent="0.2">
      <c r="A225" s="45"/>
      <c r="B225" s="42"/>
      <c r="C225" s="42"/>
      <c r="D225" s="42">
        <v>-3</v>
      </c>
      <c r="E225" s="42"/>
      <c r="F225" s="47" t="s">
        <v>445</v>
      </c>
      <c r="G225" s="47"/>
      <c r="H225" s="47" t="e">
        <f t="shared" si="6"/>
        <v>#VALUE!</v>
      </c>
      <c r="I225" s="47"/>
      <c r="J225" s="42"/>
      <c r="K225" s="42"/>
      <c r="L225" s="26"/>
      <c r="M225" s="26"/>
      <c r="N225" s="18"/>
      <c r="O225" s="15"/>
    </row>
    <row r="226" spans="1:15" s="1" customFormat="1" ht="13.5" x14ac:dyDescent="0.2">
      <c r="A226" s="45"/>
      <c r="B226" s="42" t="s">
        <v>58</v>
      </c>
      <c r="C226" s="42"/>
      <c r="D226" s="42">
        <v>0</v>
      </c>
      <c r="E226" s="42"/>
      <c r="F226" s="47" t="s">
        <v>446</v>
      </c>
      <c r="G226" s="47"/>
      <c r="H226" s="47" t="e">
        <f t="shared" si="6"/>
        <v>#VALUE!</v>
      </c>
      <c r="I226" s="47"/>
      <c r="J226" s="42" t="s">
        <v>82</v>
      </c>
      <c r="K226" s="42"/>
      <c r="L226" s="26"/>
      <c r="M226" s="26"/>
      <c r="N226" s="18"/>
      <c r="O226" s="15"/>
    </row>
    <row r="227" spans="1:15" s="1" customFormat="1" ht="13.5" x14ac:dyDescent="0.2">
      <c r="A227" s="45"/>
      <c r="B227" s="42"/>
      <c r="C227" s="42"/>
      <c r="D227" s="42">
        <v>3</v>
      </c>
      <c r="E227" s="42"/>
      <c r="F227" s="47" t="s">
        <v>447</v>
      </c>
      <c r="G227" s="47"/>
      <c r="H227" s="47" t="e">
        <f t="shared" si="6"/>
        <v>#VALUE!</v>
      </c>
      <c r="I227" s="47"/>
      <c r="J227" s="42" t="s">
        <v>97</v>
      </c>
      <c r="K227" s="42"/>
      <c r="L227" s="26"/>
      <c r="M227" s="26"/>
      <c r="N227" s="18"/>
      <c r="O227" s="15"/>
    </row>
    <row r="228" spans="1:15" s="1" customFormat="1" ht="13.5" x14ac:dyDescent="0.2">
      <c r="A228" s="45"/>
      <c r="B228" s="42"/>
      <c r="C228" s="42"/>
      <c r="D228" s="42">
        <v>-3</v>
      </c>
      <c r="E228" s="42"/>
      <c r="F228" s="47" t="s">
        <v>448</v>
      </c>
      <c r="G228" s="47"/>
      <c r="H228" s="47" t="e">
        <f t="shared" si="6"/>
        <v>#VALUE!</v>
      </c>
      <c r="I228" s="47"/>
      <c r="J228" s="42"/>
      <c r="K228" s="42"/>
      <c r="L228" s="26"/>
      <c r="M228" s="26"/>
      <c r="N228" s="18"/>
      <c r="O228" s="15"/>
    </row>
    <row r="229" spans="1:15" s="1" customFormat="1" ht="13.5" x14ac:dyDescent="0.2">
      <c r="A229" s="45"/>
      <c r="B229" s="42" t="s">
        <v>1</v>
      </c>
      <c r="C229" s="42"/>
      <c r="D229" s="42">
        <v>0</v>
      </c>
      <c r="E229" s="42"/>
      <c r="F229" s="47" t="s">
        <v>449</v>
      </c>
      <c r="G229" s="47"/>
      <c r="H229" s="47" t="e">
        <f t="shared" si="6"/>
        <v>#VALUE!</v>
      </c>
      <c r="I229" s="47"/>
      <c r="J229" s="42" t="s">
        <v>98</v>
      </c>
      <c r="K229" s="42"/>
      <c r="L229" s="26"/>
      <c r="M229" s="26"/>
      <c r="N229" s="18"/>
      <c r="O229" s="15"/>
    </row>
    <row r="230" spans="1:15" s="1" customFormat="1" ht="13.5" x14ac:dyDescent="0.2">
      <c r="A230" s="45"/>
      <c r="B230" s="42"/>
      <c r="C230" s="42"/>
      <c r="D230" s="42">
        <v>5</v>
      </c>
      <c r="E230" s="42"/>
      <c r="F230" s="47" t="s">
        <v>450</v>
      </c>
      <c r="G230" s="47"/>
      <c r="H230" s="47" t="e">
        <f t="shared" si="6"/>
        <v>#VALUE!</v>
      </c>
      <c r="I230" s="47"/>
      <c r="J230" s="42" t="s">
        <v>99</v>
      </c>
      <c r="K230" s="42"/>
      <c r="L230" s="26"/>
      <c r="M230" s="26"/>
      <c r="N230" s="18"/>
      <c r="O230" s="15"/>
    </row>
    <row r="231" spans="1:15" s="1" customFormat="1" ht="13.5" x14ac:dyDescent="0.2">
      <c r="A231" s="45"/>
      <c r="B231" s="42"/>
      <c r="C231" s="42"/>
      <c r="D231" s="42">
        <v>-5</v>
      </c>
      <c r="E231" s="42"/>
      <c r="F231" s="47" t="s">
        <v>451</v>
      </c>
      <c r="G231" s="47"/>
      <c r="H231" s="47" t="e">
        <f t="shared" si="6"/>
        <v>#VALUE!</v>
      </c>
      <c r="I231" s="47"/>
      <c r="J231" s="42"/>
      <c r="K231" s="42"/>
      <c r="L231" s="26"/>
      <c r="M231" s="26"/>
      <c r="N231" s="18"/>
      <c r="O231" s="15"/>
    </row>
    <row r="232" spans="1:15" s="1" customFormat="1" ht="13.5" x14ac:dyDescent="0.2">
      <c r="A232" s="45"/>
      <c r="B232" s="42" t="s">
        <v>62</v>
      </c>
      <c r="C232" s="42"/>
      <c r="D232" s="42">
        <v>0</v>
      </c>
      <c r="E232" s="42"/>
      <c r="F232" s="47" t="s">
        <v>452</v>
      </c>
      <c r="G232" s="47"/>
      <c r="H232" s="47" t="e">
        <f t="shared" si="6"/>
        <v>#VALUE!</v>
      </c>
      <c r="I232" s="47"/>
      <c r="J232" s="42" t="s">
        <v>84</v>
      </c>
      <c r="K232" s="42"/>
      <c r="L232" s="26"/>
      <c r="M232" s="26"/>
      <c r="N232" s="18"/>
      <c r="O232" s="15"/>
    </row>
    <row r="233" spans="1:15" s="1" customFormat="1" ht="13.5" x14ac:dyDescent="0.2">
      <c r="A233" s="45"/>
      <c r="B233" s="42"/>
      <c r="C233" s="42"/>
      <c r="D233" s="42">
        <v>5</v>
      </c>
      <c r="E233" s="42"/>
      <c r="F233" s="47" t="s">
        <v>453</v>
      </c>
      <c r="G233" s="47"/>
      <c r="H233" s="47" t="e">
        <f t="shared" si="6"/>
        <v>#VALUE!</v>
      </c>
      <c r="I233" s="47"/>
      <c r="J233" s="42" t="s">
        <v>85</v>
      </c>
      <c r="K233" s="42"/>
      <c r="L233" s="26"/>
      <c r="M233" s="26"/>
      <c r="N233" s="18"/>
      <c r="O233" s="15"/>
    </row>
    <row r="234" spans="1:15" s="1" customFormat="1" ht="13.5" x14ac:dyDescent="0.2">
      <c r="A234" s="45"/>
      <c r="B234" s="42"/>
      <c r="C234" s="42"/>
      <c r="D234" s="42">
        <v>-5</v>
      </c>
      <c r="E234" s="42"/>
      <c r="F234" s="47" t="s">
        <v>454</v>
      </c>
      <c r="G234" s="47"/>
      <c r="H234" s="47" t="e">
        <f t="shared" si="6"/>
        <v>#VALUE!</v>
      </c>
      <c r="I234" s="47"/>
      <c r="J234" s="42"/>
      <c r="K234" s="42"/>
      <c r="L234" s="26"/>
      <c r="M234" s="26"/>
      <c r="N234" s="18"/>
      <c r="O234" s="15"/>
    </row>
    <row r="235" spans="1:15" s="1" customFormat="1" ht="13.5" x14ac:dyDescent="0.2">
      <c r="A235" s="39">
        <v>2</v>
      </c>
      <c r="B235" s="42" t="s">
        <v>36</v>
      </c>
      <c r="C235" s="42"/>
      <c r="D235" s="42">
        <v>0</v>
      </c>
      <c r="E235" s="42"/>
      <c r="F235" s="47" t="s">
        <v>455</v>
      </c>
      <c r="G235" s="47"/>
      <c r="H235" s="47" t="e">
        <f>(D235-F235)*1000</f>
        <v>#VALUE!</v>
      </c>
      <c r="I235" s="47"/>
      <c r="J235" s="42" t="s">
        <v>74</v>
      </c>
      <c r="K235" s="42"/>
      <c r="L235" s="26"/>
      <c r="M235" s="26"/>
      <c r="N235" s="18"/>
      <c r="O235" s="15"/>
    </row>
    <row r="236" spans="1:15" s="1" customFormat="1" ht="13.5" x14ac:dyDescent="0.2">
      <c r="A236" s="40"/>
      <c r="B236" s="42"/>
      <c r="C236" s="42"/>
      <c r="D236" s="42">
        <v>1</v>
      </c>
      <c r="E236" s="42"/>
      <c r="F236" s="47" t="s">
        <v>456</v>
      </c>
      <c r="G236" s="47"/>
      <c r="H236" s="47" t="e">
        <f t="shared" ref="H236:H259" si="7">(D236-F236)*1000</f>
        <v>#VALUE!</v>
      </c>
      <c r="I236" s="47"/>
      <c r="J236" s="42" t="s">
        <v>75</v>
      </c>
      <c r="K236" s="42"/>
      <c r="L236" s="26"/>
      <c r="M236" s="26"/>
      <c r="N236" s="18"/>
      <c r="O236" s="15"/>
    </row>
    <row r="237" spans="1:15" s="1" customFormat="1" ht="13.5" x14ac:dyDescent="0.2">
      <c r="A237" s="40"/>
      <c r="B237" s="42"/>
      <c r="C237" s="42"/>
      <c r="D237" s="42">
        <v>-1</v>
      </c>
      <c r="E237" s="42"/>
      <c r="F237" s="47" t="s">
        <v>457</v>
      </c>
      <c r="G237" s="47"/>
      <c r="H237" s="47" t="e">
        <f t="shared" si="7"/>
        <v>#VALUE!</v>
      </c>
      <c r="I237" s="47"/>
      <c r="J237" s="42"/>
      <c r="K237" s="42"/>
      <c r="L237" s="26"/>
      <c r="M237" s="26"/>
      <c r="N237" s="18"/>
      <c r="O237" s="15"/>
    </row>
    <row r="238" spans="1:15" s="1" customFormat="1" ht="13.5" x14ac:dyDescent="0.2">
      <c r="A238" s="40"/>
      <c r="B238" s="42" t="s">
        <v>5</v>
      </c>
      <c r="C238" s="42"/>
      <c r="D238" s="42">
        <v>0</v>
      </c>
      <c r="E238" s="42"/>
      <c r="F238" s="47" t="s">
        <v>458</v>
      </c>
      <c r="G238" s="47"/>
      <c r="H238" s="47" t="e">
        <f t="shared" si="7"/>
        <v>#VALUE!</v>
      </c>
      <c r="I238" s="47"/>
      <c r="J238" s="42" t="s">
        <v>76</v>
      </c>
      <c r="K238" s="42"/>
      <c r="L238" s="26"/>
      <c r="M238" s="26"/>
      <c r="N238" s="18"/>
      <c r="O238" s="15"/>
    </row>
    <row r="239" spans="1:15" s="1" customFormat="1" ht="13.5" x14ac:dyDescent="0.2">
      <c r="A239" s="40"/>
      <c r="B239" s="42"/>
      <c r="C239" s="42"/>
      <c r="D239" s="42">
        <v>1</v>
      </c>
      <c r="E239" s="42"/>
      <c r="F239" s="47" t="s">
        <v>459</v>
      </c>
      <c r="G239" s="47"/>
      <c r="H239" s="47" t="e">
        <f t="shared" si="7"/>
        <v>#VALUE!</v>
      </c>
      <c r="I239" s="47"/>
      <c r="J239" s="42" t="s">
        <v>77</v>
      </c>
      <c r="K239" s="42"/>
      <c r="L239" s="26"/>
      <c r="M239" s="26"/>
      <c r="N239" s="18"/>
      <c r="O239" s="15"/>
    </row>
    <row r="240" spans="1:15" s="1" customFormat="1" ht="13.5" x14ac:dyDescent="0.2">
      <c r="A240" s="40"/>
      <c r="B240" s="42"/>
      <c r="C240" s="42"/>
      <c r="D240" s="42">
        <v>-1</v>
      </c>
      <c r="E240" s="42"/>
      <c r="F240" s="47" t="s">
        <v>460</v>
      </c>
      <c r="G240" s="47"/>
      <c r="H240" s="47" t="e">
        <f t="shared" si="7"/>
        <v>#VALUE!</v>
      </c>
      <c r="I240" s="47"/>
      <c r="J240" s="42"/>
      <c r="K240" s="42"/>
      <c r="L240" s="26"/>
      <c r="M240" s="26"/>
      <c r="N240" s="18"/>
      <c r="O240" s="15"/>
    </row>
    <row r="241" spans="1:15" s="1" customFormat="1" ht="13.5" x14ac:dyDescent="0.2">
      <c r="A241" s="40"/>
      <c r="B241" s="42" t="s">
        <v>90</v>
      </c>
      <c r="C241" s="42"/>
      <c r="D241" s="42">
        <v>0</v>
      </c>
      <c r="E241" s="42"/>
      <c r="F241" s="47" t="s">
        <v>461</v>
      </c>
      <c r="G241" s="47"/>
      <c r="H241" s="47" t="e">
        <f t="shared" si="7"/>
        <v>#VALUE!</v>
      </c>
      <c r="I241" s="47"/>
      <c r="J241" s="42" t="s">
        <v>78</v>
      </c>
      <c r="K241" s="42"/>
      <c r="L241" s="26"/>
      <c r="M241" s="26"/>
      <c r="N241" s="18"/>
      <c r="O241" s="15"/>
    </row>
    <row r="242" spans="1:15" s="1" customFormat="1" ht="13.5" x14ac:dyDescent="0.2">
      <c r="A242" s="40"/>
      <c r="B242" s="42"/>
      <c r="C242" s="42"/>
      <c r="D242" s="42">
        <v>0.5</v>
      </c>
      <c r="E242" s="42"/>
      <c r="F242" s="47" t="s">
        <v>462</v>
      </c>
      <c r="G242" s="47"/>
      <c r="H242" s="47" t="e">
        <f t="shared" si="7"/>
        <v>#VALUE!</v>
      </c>
      <c r="I242" s="47"/>
      <c r="J242" s="42" t="s">
        <v>79</v>
      </c>
      <c r="K242" s="42"/>
      <c r="L242" s="26"/>
      <c r="M242" s="26"/>
      <c r="N242" s="18"/>
      <c r="O242" s="15"/>
    </row>
    <row r="243" spans="1:15" s="1" customFormat="1" ht="13.5" x14ac:dyDescent="0.2">
      <c r="A243" s="40"/>
      <c r="B243" s="42"/>
      <c r="C243" s="42"/>
      <c r="D243" s="42">
        <v>-0.5</v>
      </c>
      <c r="E243" s="42"/>
      <c r="F243" s="47" t="s">
        <v>463</v>
      </c>
      <c r="G243" s="47"/>
      <c r="H243" s="47" t="e">
        <f t="shared" si="7"/>
        <v>#VALUE!</v>
      </c>
      <c r="I243" s="47"/>
      <c r="J243" s="42"/>
      <c r="K243" s="42"/>
      <c r="L243" s="26"/>
      <c r="M243" s="26"/>
      <c r="N243" s="18"/>
      <c r="O243" s="15"/>
    </row>
    <row r="244" spans="1:15" s="1" customFormat="1" ht="13.5" x14ac:dyDescent="0.2">
      <c r="A244" s="40"/>
      <c r="B244" s="42" t="s">
        <v>4</v>
      </c>
      <c r="C244" s="42"/>
      <c r="D244" s="42">
        <v>0</v>
      </c>
      <c r="E244" s="42"/>
      <c r="F244" s="47" t="s">
        <v>464</v>
      </c>
      <c r="G244" s="47"/>
      <c r="H244" s="47" t="e">
        <f t="shared" si="7"/>
        <v>#VALUE!</v>
      </c>
      <c r="I244" s="47"/>
      <c r="J244" s="42" t="s">
        <v>80</v>
      </c>
      <c r="K244" s="42"/>
      <c r="L244" s="26"/>
      <c r="M244" s="26"/>
      <c r="N244" s="18"/>
      <c r="O244" s="15"/>
    </row>
    <row r="245" spans="1:15" s="1" customFormat="1" ht="13.5" x14ac:dyDescent="0.2">
      <c r="A245" s="40"/>
      <c r="B245" s="42"/>
      <c r="C245" s="42"/>
      <c r="D245" s="42">
        <v>0.5</v>
      </c>
      <c r="E245" s="42"/>
      <c r="F245" s="47" t="s">
        <v>465</v>
      </c>
      <c r="G245" s="47"/>
      <c r="H245" s="47" t="e">
        <f t="shared" si="7"/>
        <v>#VALUE!</v>
      </c>
      <c r="I245" s="47"/>
      <c r="J245" s="42" t="s">
        <v>81</v>
      </c>
      <c r="K245" s="42"/>
      <c r="L245" s="26"/>
      <c r="M245" s="26"/>
      <c r="N245" s="18"/>
      <c r="O245" s="15"/>
    </row>
    <row r="246" spans="1:15" s="1" customFormat="1" ht="13.5" x14ac:dyDescent="0.2">
      <c r="A246" s="40"/>
      <c r="B246" s="42"/>
      <c r="C246" s="42"/>
      <c r="D246" s="42">
        <v>-0.5</v>
      </c>
      <c r="E246" s="42"/>
      <c r="F246" s="47" t="s">
        <v>466</v>
      </c>
      <c r="G246" s="47"/>
      <c r="H246" s="47" t="e">
        <f t="shared" si="7"/>
        <v>#VALUE!</v>
      </c>
      <c r="I246" s="47"/>
      <c r="J246" s="42"/>
      <c r="K246" s="42"/>
      <c r="L246" s="26"/>
      <c r="M246" s="26"/>
      <c r="N246" s="18"/>
      <c r="O246" s="15"/>
    </row>
    <row r="247" spans="1:15" s="1" customFormat="1" ht="13.5" x14ac:dyDescent="0.2">
      <c r="A247" s="40"/>
      <c r="B247" s="42" t="s">
        <v>42</v>
      </c>
      <c r="C247" s="42"/>
      <c r="D247" s="42">
        <v>0</v>
      </c>
      <c r="E247" s="42"/>
      <c r="F247" s="47" t="s">
        <v>467</v>
      </c>
      <c r="G247" s="47"/>
      <c r="H247" s="47" t="e">
        <f t="shared" si="7"/>
        <v>#VALUE!</v>
      </c>
      <c r="I247" s="47"/>
      <c r="J247" s="42" t="s">
        <v>82</v>
      </c>
      <c r="K247" s="42"/>
      <c r="L247" s="26"/>
      <c r="M247" s="26"/>
      <c r="N247" s="18"/>
      <c r="O247" s="15"/>
    </row>
    <row r="248" spans="1:15" s="1" customFormat="1" ht="13.5" x14ac:dyDescent="0.2">
      <c r="A248" s="40"/>
      <c r="B248" s="42"/>
      <c r="C248" s="42"/>
      <c r="D248" s="42">
        <v>5</v>
      </c>
      <c r="E248" s="42"/>
      <c r="F248" s="47" t="s">
        <v>468</v>
      </c>
      <c r="G248" s="47"/>
      <c r="H248" s="47" t="e">
        <f t="shared" si="7"/>
        <v>#VALUE!</v>
      </c>
      <c r="I248" s="47"/>
      <c r="J248" s="42" t="s">
        <v>83</v>
      </c>
      <c r="K248" s="42"/>
      <c r="L248" s="26"/>
      <c r="M248" s="26"/>
      <c r="N248" s="18"/>
      <c r="O248" s="15"/>
    </row>
    <row r="249" spans="1:15" s="1" customFormat="1" ht="13.5" x14ac:dyDescent="0.2">
      <c r="A249" s="40"/>
      <c r="B249" s="42"/>
      <c r="C249" s="42"/>
      <c r="D249" s="42">
        <v>-5</v>
      </c>
      <c r="E249" s="42"/>
      <c r="F249" s="47" t="s">
        <v>469</v>
      </c>
      <c r="G249" s="47"/>
      <c r="H249" s="47" t="e">
        <f t="shared" si="7"/>
        <v>#VALUE!</v>
      </c>
      <c r="I249" s="47"/>
      <c r="J249" s="42"/>
      <c r="K249" s="42"/>
      <c r="L249" s="26"/>
      <c r="M249" s="26"/>
      <c r="N249" s="18"/>
      <c r="O249" s="15"/>
    </row>
    <row r="250" spans="1:15" s="1" customFormat="1" ht="13.5" x14ac:dyDescent="0.2">
      <c r="A250" s="40"/>
      <c r="B250" s="42" t="s">
        <v>44</v>
      </c>
      <c r="C250" s="42"/>
      <c r="D250" s="42">
        <v>0</v>
      </c>
      <c r="E250" s="42"/>
      <c r="F250" s="47" t="s">
        <v>470</v>
      </c>
      <c r="G250" s="47"/>
      <c r="H250" s="47" t="e">
        <f t="shared" si="7"/>
        <v>#VALUE!</v>
      </c>
      <c r="I250" s="47"/>
      <c r="J250" s="42" t="s">
        <v>84</v>
      </c>
      <c r="K250" s="42"/>
      <c r="L250" s="26"/>
      <c r="M250" s="26"/>
      <c r="N250" s="18"/>
      <c r="O250" s="15"/>
    </row>
    <row r="251" spans="1:15" s="1" customFormat="1" ht="13.5" x14ac:dyDescent="0.2">
      <c r="A251" s="40"/>
      <c r="B251" s="42"/>
      <c r="C251" s="42"/>
      <c r="D251" s="42">
        <v>5</v>
      </c>
      <c r="E251" s="42"/>
      <c r="F251" s="47" t="s">
        <v>471</v>
      </c>
      <c r="G251" s="47"/>
      <c r="H251" s="47" t="e">
        <f t="shared" si="7"/>
        <v>#VALUE!</v>
      </c>
      <c r="I251" s="47"/>
      <c r="J251" s="42" t="s">
        <v>85</v>
      </c>
      <c r="K251" s="42"/>
      <c r="L251" s="26"/>
      <c r="M251" s="26"/>
      <c r="N251" s="18"/>
      <c r="O251" s="15"/>
    </row>
    <row r="252" spans="1:15" s="1" customFormat="1" ht="13.5" x14ac:dyDescent="0.2">
      <c r="A252" s="41"/>
      <c r="B252" s="42"/>
      <c r="C252" s="42"/>
      <c r="D252" s="42">
        <v>-5</v>
      </c>
      <c r="E252" s="42"/>
      <c r="F252" s="47" t="s">
        <v>472</v>
      </c>
      <c r="G252" s="47"/>
      <c r="H252" s="47" t="e">
        <f t="shared" si="7"/>
        <v>#VALUE!</v>
      </c>
      <c r="I252" s="47"/>
      <c r="J252" s="42"/>
      <c r="K252" s="42"/>
      <c r="L252" s="26"/>
      <c r="M252" s="26"/>
      <c r="N252" s="18"/>
      <c r="O252" s="15"/>
    </row>
    <row r="253" spans="1:15" s="1" customFormat="1" ht="63" customHeight="1" x14ac:dyDescent="0.2">
      <c r="A253" s="16" t="s">
        <v>12</v>
      </c>
      <c r="B253" s="45" t="s">
        <v>0</v>
      </c>
      <c r="C253" s="45"/>
      <c r="D253" s="45" t="s">
        <v>69</v>
      </c>
      <c r="E253" s="45"/>
      <c r="F253" s="44" t="s">
        <v>70</v>
      </c>
      <c r="G253" s="44"/>
      <c r="H253" s="44" t="s">
        <v>71</v>
      </c>
      <c r="I253" s="44"/>
      <c r="J253" s="46" t="s">
        <v>72</v>
      </c>
      <c r="K253" s="46"/>
      <c r="L253" s="28"/>
      <c r="M253" s="28"/>
      <c r="N253" s="29"/>
      <c r="O253" s="15"/>
    </row>
    <row r="254" spans="1:15" s="1" customFormat="1" ht="13.5" x14ac:dyDescent="0.2">
      <c r="A254" s="39">
        <v>2</v>
      </c>
      <c r="B254" s="42" t="s">
        <v>46</v>
      </c>
      <c r="C254" s="42"/>
      <c r="D254" s="42">
        <v>0</v>
      </c>
      <c r="E254" s="42"/>
      <c r="F254" s="47" t="s">
        <v>473</v>
      </c>
      <c r="G254" s="47"/>
      <c r="H254" s="47" t="e">
        <f t="shared" si="7"/>
        <v>#VALUE!</v>
      </c>
      <c r="I254" s="47"/>
      <c r="J254" s="42" t="s">
        <v>86</v>
      </c>
      <c r="K254" s="42"/>
      <c r="L254" s="26"/>
      <c r="M254" s="26"/>
      <c r="N254" s="18"/>
      <c r="O254" s="15"/>
    </row>
    <row r="255" spans="1:15" s="1" customFormat="1" ht="13.5" x14ac:dyDescent="0.2">
      <c r="A255" s="40"/>
      <c r="B255" s="42"/>
      <c r="C255" s="42"/>
      <c r="D255" s="42">
        <v>40</v>
      </c>
      <c r="E255" s="42"/>
      <c r="F255" s="47" t="s">
        <v>474</v>
      </c>
      <c r="G255" s="47"/>
      <c r="H255" s="47" t="e">
        <f t="shared" si="7"/>
        <v>#VALUE!</v>
      </c>
      <c r="I255" s="47"/>
      <c r="J255" s="42" t="s">
        <v>87</v>
      </c>
      <c r="K255" s="42"/>
      <c r="L255" s="26"/>
      <c r="M255" s="26"/>
      <c r="N255" s="18"/>
      <c r="O255" s="15"/>
    </row>
    <row r="256" spans="1:15" s="1" customFormat="1" ht="13.5" x14ac:dyDescent="0.2">
      <c r="A256" s="40"/>
      <c r="B256" s="42"/>
      <c r="C256" s="42"/>
      <c r="D256" s="42">
        <v>-40</v>
      </c>
      <c r="E256" s="42"/>
      <c r="F256" s="47" t="s">
        <v>475</v>
      </c>
      <c r="G256" s="47"/>
      <c r="H256" s="47" t="e">
        <f t="shared" si="7"/>
        <v>#VALUE!</v>
      </c>
      <c r="I256" s="47"/>
      <c r="J256" s="42"/>
      <c r="K256" s="42"/>
      <c r="L256" s="26"/>
      <c r="M256" s="26"/>
      <c r="N256" s="18"/>
      <c r="O256" s="15"/>
    </row>
    <row r="257" spans="1:15" s="1" customFormat="1" ht="13.5" x14ac:dyDescent="0.2">
      <c r="A257" s="40"/>
      <c r="B257" s="42" t="s">
        <v>48</v>
      </c>
      <c r="C257" s="42"/>
      <c r="D257" s="42">
        <v>0</v>
      </c>
      <c r="E257" s="42"/>
      <c r="F257" s="47" t="s">
        <v>476</v>
      </c>
      <c r="G257" s="47"/>
      <c r="H257" s="47" t="e">
        <f t="shared" si="7"/>
        <v>#VALUE!</v>
      </c>
      <c r="I257" s="47"/>
      <c r="J257" s="42" t="s">
        <v>88</v>
      </c>
      <c r="K257" s="42"/>
      <c r="L257" s="26"/>
      <c r="M257" s="26"/>
      <c r="N257" s="18"/>
      <c r="O257" s="15"/>
    </row>
    <row r="258" spans="1:15" s="1" customFormat="1" ht="13.5" x14ac:dyDescent="0.2">
      <c r="A258" s="40"/>
      <c r="B258" s="42"/>
      <c r="C258" s="42"/>
      <c r="D258" s="42">
        <v>40</v>
      </c>
      <c r="E258" s="42"/>
      <c r="F258" s="47" t="s">
        <v>477</v>
      </c>
      <c r="G258" s="47"/>
      <c r="H258" s="47" t="e">
        <f t="shared" si="7"/>
        <v>#VALUE!</v>
      </c>
      <c r="I258" s="47"/>
      <c r="J258" s="42" t="s">
        <v>89</v>
      </c>
      <c r="K258" s="42"/>
      <c r="L258" s="26"/>
      <c r="M258" s="26"/>
      <c r="N258" s="18"/>
      <c r="O258" s="15"/>
    </row>
    <row r="259" spans="1:15" s="1" customFormat="1" ht="13.5" x14ac:dyDescent="0.2">
      <c r="A259" s="40"/>
      <c r="B259" s="42"/>
      <c r="C259" s="42"/>
      <c r="D259" s="42">
        <v>-40</v>
      </c>
      <c r="E259" s="42"/>
      <c r="F259" s="47" t="s">
        <v>478</v>
      </c>
      <c r="G259" s="47"/>
      <c r="H259" s="47" t="e">
        <f t="shared" si="7"/>
        <v>#VALUE!</v>
      </c>
      <c r="I259" s="47"/>
      <c r="J259" s="42"/>
      <c r="K259" s="42"/>
      <c r="L259" s="26"/>
      <c r="M259" s="26"/>
      <c r="N259" s="18"/>
      <c r="O259" s="15"/>
    </row>
    <row r="260" spans="1:15" s="1" customFormat="1" ht="13.5" x14ac:dyDescent="0.2">
      <c r="A260" s="40"/>
      <c r="B260" s="42" t="s">
        <v>50</v>
      </c>
      <c r="C260" s="42"/>
      <c r="D260" s="42">
        <v>0</v>
      </c>
      <c r="E260" s="42"/>
      <c r="F260" s="47" t="s">
        <v>479</v>
      </c>
      <c r="G260" s="47"/>
      <c r="H260" s="47" t="e">
        <f>(D260-F260)*1000</f>
        <v>#VALUE!</v>
      </c>
      <c r="I260" s="47"/>
      <c r="J260" s="42" t="s">
        <v>74</v>
      </c>
      <c r="K260" s="42"/>
      <c r="L260" s="26"/>
      <c r="M260" s="26"/>
      <c r="N260" s="18"/>
      <c r="O260" s="15"/>
    </row>
    <row r="261" spans="1:15" s="1" customFormat="1" ht="13.5" x14ac:dyDescent="0.2">
      <c r="A261" s="40"/>
      <c r="B261" s="42"/>
      <c r="C261" s="42"/>
      <c r="D261" s="42">
        <v>1</v>
      </c>
      <c r="E261" s="42"/>
      <c r="F261" s="47" t="s">
        <v>480</v>
      </c>
      <c r="G261" s="47"/>
      <c r="H261" s="47" t="e">
        <f t="shared" ref="H261:H283" si="8">(D261-F261)*1000</f>
        <v>#VALUE!</v>
      </c>
      <c r="I261" s="47"/>
      <c r="J261" s="42" t="s">
        <v>75</v>
      </c>
      <c r="K261" s="42"/>
      <c r="L261" s="26"/>
      <c r="M261" s="26"/>
      <c r="N261" s="18"/>
      <c r="O261" s="15"/>
    </row>
    <row r="262" spans="1:15" s="1" customFormat="1" ht="13.5" x14ac:dyDescent="0.2">
      <c r="A262" s="40"/>
      <c r="B262" s="42"/>
      <c r="C262" s="42"/>
      <c r="D262" s="42">
        <v>-1</v>
      </c>
      <c r="E262" s="42"/>
      <c r="F262" s="47" t="s">
        <v>481</v>
      </c>
      <c r="G262" s="47"/>
      <c r="H262" s="47" t="e">
        <f t="shared" si="8"/>
        <v>#VALUE!</v>
      </c>
      <c r="I262" s="47"/>
      <c r="J262" s="42"/>
      <c r="K262" s="42"/>
      <c r="L262" s="26"/>
      <c r="M262" s="26"/>
      <c r="N262" s="18"/>
      <c r="O262" s="15"/>
    </row>
    <row r="263" spans="1:15" s="1" customFormat="1" ht="13.5" x14ac:dyDescent="0.2">
      <c r="A263" s="40"/>
      <c r="B263" s="42" t="s">
        <v>3</v>
      </c>
      <c r="C263" s="42"/>
      <c r="D263" s="42">
        <v>0</v>
      </c>
      <c r="E263" s="42"/>
      <c r="F263" s="47" t="s">
        <v>482</v>
      </c>
      <c r="G263" s="47"/>
      <c r="H263" s="47" t="e">
        <f t="shared" si="8"/>
        <v>#VALUE!</v>
      </c>
      <c r="I263" s="47"/>
      <c r="J263" s="42" t="s">
        <v>76</v>
      </c>
      <c r="K263" s="42"/>
      <c r="L263" s="26"/>
      <c r="M263" s="26"/>
      <c r="N263" s="18"/>
      <c r="O263" s="15"/>
    </row>
    <row r="264" spans="1:15" s="1" customFormat="1" ht="13.5" x14ac:dyDescent="0.2">
      <c r="A264" s="40"/>
      <c r="B264" s="42"/>
      <c r="C264" s="42"/>
      <c r="D264" s="42">
        <v>1</v>
      </c>
      <c r="E264" s="42"/>
      <c r="F264" s="47" t="s">
        <v>483</v>
      </c>
      <c r="G264" s="47"/>
      <c r="H264" s="47" t="e">
        <f t="shared" si="8"/>
        <v>#VALUE!</v>
      </c>
      <c r="I264" s="47"/>
      <c r="J264" s="42" t="s">
        <v>77</v>
      </c>
      <c r="K264" s="42"/>
      <c r="L264" s="26"/>
      <c r="M264" s="26"/>
      <c r="N264" s="18"/>
      <c r="O264" s="15"/>
    </row>
    <row r="265" spans="1:15" s="1" customFormat="1" ht="13.5" x14ac:dyDescent="0.2">
      <c r="A265" s="40"/>
      <c r="B265" s="42"/>
      <c r="C265" s="42"/>
      <c r="D265" s="42">
        <v>-1</v>
      </c>
      <c r="E265" s="42"/>
      <c r="F265" s="47" t="s">
        <v>484</v>
      </c>
      <c r="G265" s="47"/>
      <c r="H265" s="47" t="e">
        <f t="shared" si="8"/>
        <v>#VALUE!</v>
      </c>
      <c r="I265" s="47"/>
      <c r="J265" s="42"/>
      <c r="K265" s="42"/>
      <c r="L265" s="26"/>
      <c r="M265" s="26"/>
      <c r="N265" s="18"/>
      <c r="O265" s="15"/>
    </row>
    <row r="266" spans="1:15" s="1" customFormat="1" ht="13.5" x14ac:dyDescent="0.2">
      <c r="A266" s="40"/>
      <c r="B266" s="42" t="s">
        <v>91</v>
      </c>
      <c r="C266" s="42"/>
      <c r="D266" s="42">
        <v>0</v>
      </c>
      <c r="E266" s="42"/>
      <c r="F266" s="47" t="s">
        <v>485</v>
      </c>
      <c r="G266" s="47"/>
      <c r="H266" s="47" t="e">
        <f t="shared" si="8"/>
        <v>#VALUE!</v>
      </c>
      <c r="I266" s="47"/>
      <c r="J266" s="42" t="s">
        <v>78</v>
      </c>
      <c r="K266" s="42"/>
      <c r="L266" s="26"/>
      <c r="M266" s="26"/>
      <c r="N266" s="18"/>
      <c r="O266" s="15"/>
    </row>
    <row r="267" spans="1:15" s="1" customFormat="1" ht="13.5" x14ac:dyDescent="0.2">
      <c r="A267" s="40"/>
      <c r="B267" s="42"/>
      <c r="C267" s="42"/>
      <c r="D267" s="42">
        <v>1</v>
      </c>
      <c r="E267" s="42"/>
      <c r="F267" s="47" t="s">
        <v>486</v>
      </c>
      <c r="G267" s="47"/>
      <c r="H267" s="47" t="e">
        <f t="shared" si="8"/>
        <v>#VALUE!</v>
      </c>
      <c r="I267" s="47"/>
      <c r="J267" s="42" t="s">
        <v>93</v>
      </c>
      <c r="K267" s="42"/>
      <c r="L267" s="26"/>
      <c r="M267" s="26"/>
      <c r="N267" s="18"/>
      <c r="O267" s="15"/>
    </row>
    <row r="268" spans="1:15" s="1" customFormat="1" ht="13.5" x14ac:dyDescent="0.2">
      <c r="A268" s="40"/>
      <c r="B268" s="42"/>
      <c r="C268" s="42"/>
      <c r="D268" s="42">
        <v>-1</v>
      </c>
      <c r="E268" s="42"/>
      <c r="F268" s="47" t="s">
        <v>487</v>
      </c>
      <c r="G268" s="47"/>
      <c r="H268" s="47" t="e">
        <f t="shared" si="8"/>
        <v>#VALUE!</v>
      </c>
      <c r="I268" s="47"/>
      <c r="J268" s="42"/>
      <c r="K268" s="42"/>
      <c r="L268" s="26"/>
      <c r="M268" s="26"/>
      <c r="N268" s="18"/>
      <c r="O268" s="15"/>
    </row>
    <row r="269" spans="1:15" s="1" customFormat="1" ht="13.5" x14ac:dyDescent="0.2">
      <c r="A269" s="40"/>
      <c r="B269" s="42" t="s">
        <v>2</v>
      </c>
      <c r="C269" s="42"/>
      <c r="D269" s="42">
        <v>0</v>
      </c>
      <c r="E269" s="42"/>
      <c r="F269" s="47" t="s">
        <v>488</v>
      </c>
      <c r="G269" s="47"/>
      <c r="H269" s="47" t="e">
        <f t="shared" si="8"/>
        <v>#VALUE!</v>
      </c>
      <c r="I269" s="47"/>
      <c r="J269" s="42" t="s">
        <v>80</v>
      </c>
      <c r="K269" s="42"/>
      <c r="L269" s="26"/>
      <c r="M269" s="26"/>
      <c r="N269" s="18"/>
      <c r="O269" s="15"/>
    </row>
    <row r="270" spans="1:15" s="1" customFormat="1" ht="13.5" x14ac:dyDescent="0.2">
      <c r="A270" s="40"/>
      <c r="B270" s="42"/>
      <c r="C270" s="42"/>
      <c r="D270" s="42">
        <v>1</v>
      </c>
      <c r="E270" s="42"/>
      <c r="F270" s="47" t="s">
        <v>489</v>
      </c>
      <c r="G270" s="47"/>
      <c r="H270" s="47" t="e">
        <f t="shared" si="8"/>
        <v>#VALUE!</v>
      </c>
      <c r="I270" s="47"/>
      <c r="J270" s="42" t="s">
        <v>94</v>
      </c>
      <c r="K270" s="42"/>
      <c r="L270" s="26"/>
      <c r="M270" s="26"/>
      <c r="N270" s="18"/>
      <c r="O270" s="15"/>
    </row>
    <row r="271" spans="1:15" s="1" customFormat="1" ht="13.5" x14ac:dyDescent="0.2">
      <c r="A271" s="40"/>
      <c r="B271" s="42"/>
      <c r="C271" s="42"/>
      <c r="D271" s="42">
        <v>-1</v>
      </c>
      <c r="E271" s="42"/>
      <c r="F271" s="47" t="s">
        <v>490</v>
      </c>
      <c r="G271" s="47"/>
      <c r="H271" s="47" t="e">
        <f t="shared" si="8"/>
        <v>#VALUE!</v>
      </c>
      <c r="I271" s="47"/>
      <c r="J271" s="42"/>
      <c r="K271" s="42"/>
      <c r="L271" s="26"/>
      <c r="M271" s="26"/>
      <c r="N271" s="18"/>
      <c r="O271" s="15"/>
    </row>
    <row r="272" spans="1:15" s="1" customFormat="1" ht="13.5" x14ac:dyDescent="0.2">
      <c r="A272" s="40"/>
      <c r="B272" s="42" t="s">
        <v>92</v>
      </c>
      <c r="C272" s="42"/>
      <c r="D272" s="42">
        <v>0</v>
      </c>
      <c r="E272" s="42"/>
      <c r="F272" s="47" t="s">
        <v>491</v>
      </c>
      <c r="G272" s="47"/>
      <c r="H272" s="47" t="e">
        <f t="shared" si="8"/>
        <v>#VALUE!</v>
      </c>
      <c r="I272" s="47"/>
      <c r="J272" s="42" t="s">
        <v>95</v>
      </c>
      <c r="K272" s="42"/>
      <c r="L272" s="26"/>
      <c r="M272" s="26"/>
      <c r="N272" s="18"/>
      <c r="O272" s="15"/>
    </row>
    <row r="273" spans="1:15" s="1" customFormat="1" ht="13.5" x14ac:dyDescent="0.2">
      <c r="A273" s="40"/>
      <c r="B273" s="42"/>
      <c r="C273" s="42"/>
      <c r="D273" s="42">
        <v>3</v>
      </c>
      <c r="E273" s="42"/>
      <c r="F273" s="47" t="s">
        <v>492</v>
      </c>
      <c r="G273" s="47"/>
      <c r="H273" s="47" t="e">
        <f t="shared" si="8"/>
        <v>#VALUE!</v>
      </c>
      <c r="I273" s="47"/>
      <c r="J273" s="42" t="s">
        <v>96</v>
      </c>
      <c r="K273" s="42"/>
      <c r="L273" s="26"/>
      <c r="M273" s="26"/>
      <c r="N273" s="18"/>
      <c r="O273" s="15"/>
    </row>
    <row r="274" spans="1:15" s="1" customFormat="1" ht="13.5" x14ac:dyDescent="0.2">
      <c r="A274" s="40"/>
      <c r="B274" s="42"/>
      <c r="C274" s="42"/>
      <c r="D274" s="42">
        <v>-3</v>
      </c>
      <c r="E274" s="42"/>
      <c r="F274" s="47" t="s">
        <v>493</v>
      </c>
      <c r="G274" s="47"/>
      <c r="H274" s="47" t="e">
        <f t="shared" si="8"/>
        <v>#VALUE!</v>
      </c>
      <c r="I274" s="47"/>
      <c r="J274" s="42"/>
      <c r="K274" s="42"/>
      <c r="L274" s="26"/>
      <c r="M274" s="26"/>
      <c r="N274" s="18"/>
      <c r="O274" s="15"/>
    </row>
    <row r="275" spans="1:15" s="1" customFormat="1" ht="13.5" x14ac:dyDescent="0.2">
      <c r="A275" s="40"/>
      <c r="B275" s="42" t="s">
        <v>58</v>
      </c>
      <c r="C275" s="42"/>
      <c r="D275" s="42">
        <v>0</v>
      </c>
      <c r="E275" s="42"/>
      <c r="F275" s="47" t="s">
        <v>494</v>
      </c>
      <c r="G275" s="47"/>
      <c r="H275" s="47" t="e">
        <f t="shared" si="8"/>
        <v>#VALUE!</v>
      </c>
      <c r="I275" s="47"/>
      <c r="J275" s="42" t="s">
        <v>82</v>
      </c>
      <c r="K275" s="42"/>
      <c r="L275" s="26"/>
      <c r="M275" s="26"/>
      <c r="N275" s="18"/>
      <c r="O275" s="15"/>
    </row>
    <row r="276" spans="1:15" s="1" customFormat="1" ht="13.5" x14ac:dyDescent="0.2">
      <c r="A276" s="40"/>
      <c r="B276" s="42"/>
      <c r="C276" s="42"/>
      <c r="D276" s="42">
        <v>3</v>
      </c>
      <c r="E276" s="42"/>
      <c r="F276" s="47" t="s">
        <v>495</v>
      </c>
      <c r="G276" s="47"/>
      <c r="H276" s="47" t="e">
        <f t="shared" si="8"/>
        <v>#VALUE!</v>
      </c>
      <c r="I276" s="47"/>
      <c r="J276" s="42" t="s">
        <v>97</v>
      </c>
      <c r="K276" s="42"/>
      <c r="L276" s="26"/>
      <c r="M276" s="26"/>
      <c r="N276" s="18"/>
      <c r="O276" s="15"/>
    </row>
    <row r="277" spans="1:15" s="1" customFormat="1" ht="13.5" x14ac:dyDescent="0.2">
      <c r="A277" s="40"/>
      <c r="B277" s="42"/>
      <c r="C277" s="42"/>
      <c r="D277" s="42">
        <v>-3</v>
      </c>
      <c r="E277" s="42"/>
      <c r="F277" s="47" t="s">
        <v>496</v>
      </c>
      <c r="G277" s="47"/>
      <c r="H277" s="47" t="e">
        <f t="shared" si="8"/>
        <v>#VALUE!</v>
      </c>
      <c r="I277" s="47"/>
      <c r="J277" s="42"/>
      <c r="K277" s="42"/>
      <c r="L277" s="26"/>
      <c r="M277" s="26"/>
      <c r="N277" s="18"/>
      <c r="O277" s="15"/>
    </row>
    <row r="278" spans="1:15" s="1" customFormat="1" ht="13.5" x14ac:dyDescent="0.2">
      <c r="A278" s="40"/>
      <c r="B278" s="42" t="s">
        <v>1</v>
      </c>
      <c r="C278" s="42"/>
      <c r="D278" s="42">
        <v>0</v>
      </c>
      <c r="E278" s="42"/>
      <c r="F278" s="47" t="s">
        <v>497</v>
      </c>
      <c r="G278" s="47"/>
      <c r="H278" s="47" t="e">
        <f t="shared" si="8"/>
        <v>#VALUE!</v>
      </c>
      <c r="I278" s="47"/>
      <c r="J278" s="42" t="s">
        <v>98</v>
      </c>
      <c r="K278" s="42"/>
      <c r="L278" s="26"/>
      <c r="M278" s="26"/>
      <c r="N278" s="18"/>
      <c r="O278" s="15"/>
    </row>
    <row r="279" spans="1:15" s="1" customFormat="1" ht="13.5" x14ac:dyDescent="0.2">
      <c r="A279" s="40"/>
      <c r="B279" s="42"/>
      <c r="C279" s="42"/>
      <c r="D279" s="42">
        <v>5</v>
      </c>
      <c r="E279" s="42"/>
      <c r="F279" s="47" t="s">
        <v>498</v>
      </c>
      <c r="G279" s="47"/>
      <c r="H279" s="47" t="e">
        <f t="shared" si="8"/>
        <v>#VALUE!</v>
      </c>
      <c r="I279" s="47"/>
      <c r="J279" s="42" t="s">
        <v>99</v>
      </c>
      <c r="K279" s="42"/>
      <c r="L279" s="26"/>
      <c r="M279" s="26"/>
      <c r="N279" s="18"/>
      <c r="O279" s="15"/>
    </row>
    <row r="280" spans="1:15" s="1" customFormat="1" ht="13.5" x14ac:dyDescent="0.2">
      <c r="A280" s="40"/>
      <c r="B280" s="42"/>
      <c r="C280" s="42"/>
      <c r="D280" s="42">
        <v>-5</v>
      </c>
      <c r="E280" s="42"/>
      <c r="F280" s="47" t="s">
        <v>499</v>
      </c>
      <c r="G280" s="47"/>
      <c r="H280" s="47" t="e">
        <f t="shared" si="8"/>
        <v>#VALUE!</v>
      </c>
      <c r="I280" s="47"/>
      <c r="J280" s="42"/>
      <c r="K280" s="42"/>
      <c r="L280" s="26"/>
      <c r="M280" s="26"/>
      <c r="N280" s="18"/>
      <c r="O280" s="15"/>
    </row>
    <row r="281" spans="1:15" s="1" customFormat="1" ht="13.5" x14ac:dyDescent="0.2">
      <c r="A281" s="40"/>
      <c r="B281" s="42" t="s">
        <v>62</v>
      </c>
      <c r="C281" s="42"/>
      <c r="D281" s="42">
        <v>0</v>
      </c>
      <c r="E281" s="42"/>
      <c r="F281" s="47" t="s">
        <v>500</v>
      </c>
      <c r="G281" s="47"/>
      <c r="H281" s="47" t="e">
        <f t="shared" si="8"/>
        <v>#VALUE!</v>
      </c>
      <c r="I281" s="47"/>
      <c r="J281" s="42" t="s">
        <v>84</v>
      </c>
      <c r="K281" s="42"/>
      <c r="L281" s="26"/>
      <c r="M281" s="26"/>
      <c r="N281" s="18"/>
      <c r="O281" s="15"/>
    </row>
    <row r="282" spans="1:15" s="1" customFormat="1" ht="13.5" x14ac:dyDescent="0.2">
      <c r="A282" s="40"/>
      <c r="B282" s="42"/>
      <c r="C282" s="42"/>
      <c r="D282" s="42">
        <v>5</v>
      </c>
      <c r="E282" s="42"/>
      <c r="F282" s="47" t="s">
        <v>501</v>
      </c>
      <c r="G282" s="47"/>
      <c r="H282" s="47" t="e">
        <f t="shared" si="8"/>
        <v>#VALUE!</v>
      </c>
      <c r="I282" s="47"/>
      <c r="J282" s="42" t="s">
        <v>85</v>
      </c>
      <c r="K282" s="42"/>
      <c r="L282" s="26"/>
      <c r="M282" s="26"/>
      <c r="N282" s="18"/>
      <c r="O282" s="15"/>
    </row>
    <row r="283" spans="1:15" s="1" customFormat="1" ht="13.5" x14ac:dyDescent="0.2">
      <c r="A283" s="41"/>
      <c r="B283" s="42"/>
      <c r="C283" s="42"/>
      <c r="D283" s="42">
        <v>-5</v>
      </c>
      <c r="E283" s="42"/>
      <c r="F283" s="47" t="s">
        <v>502</v>
      </c>
      <c r="G283" s="47"/>
      <c r="H283" s="47" t="e">
        <f t="shared" si="8"/>
        <v>#VALUE!</v>
      </c>
      <c r="I283" s="47"/>
      <c r="J283" s="42"/>
      <c r="K283" s="42"/>
      <c r="L283" s="26"/>
      <c r="M283" s="26"/>
      <c r="N283" s="18"/>
      <c r="O283" s="15"/>
    </row>
    <row r="284" spans="1:15" s="1" customFormat="1" ht="13.5" x14ac:dyDescent="0.2">
      <c r="A284" s="39">
        <v>3</v>
      </c>
      <c r="B284" s="42" t="s">
        <v>36</v>
      </c>
      <c r="C284" s="42"/>
      <c r="D284" s="42">
        <v>0</v>
      </c>
      <c r="E284" s="42"/>
      <c r="F284" s="47" t="s">
        <v>503</v>
      </c>
      <c r="G284" s="47"/>
      <c r="H284" s="47" t="e">
        <f>(D284-F284)*1000</f>
        <v>#VALUE!</v>
      </c>
      <c r="I284" s="47"/>
      <c r="J284" s="42" t="s">
        <v>74</v>
      </c>
      <c r="K284" s="42"/>
      <c r="L284" s="26"/>
      <c r="M284" s="26"/>
      <c r="N284" s="18"/>
      <c r="O284" s="15"/>
    </row>
    <row r="285" spans="1:15" s="1" customFormat="1" ht="13.5" x14ac:dyDescent="0.2">
      <c r="A285" s="40"/>
      <c r="B285" s="42"/>
      <c r="C285" s="42"/>
      <c r="D285" s="42">
        <v>1</v>
      </c>
      <c r="E285" s="42"/>
      <c r="F285" s="47" t="s">
        <v>504</v>
      </c>
      <c r="G285" s="47"/>
      <c r="H285" s="47" t="e">
        <f t="shared" ref="H285:H308" si="9">(D285-F285)*1000</f>
        <v>#VALUE!</v>
      </c>
      <c r="I285" s="47"/>
      <c r="J285" s="42" t="s">
        <v>75</v>
      </c>
      <c r="K285" s="42"/>
      <c r="L285" s="26"/>
      <c r="M285" s="26"/>
      <c r="N285" s="18"/>
      <c r="O285" s="15"/>
    </row>
    <row r="286" spans="1:15" s="1" customFormat="1" ht="13.5" x14ac:dyDescent="0.2">
      <c r="A286" s="41"/>
      <c r="B286" s="42"/>
      <c r="C286" s="42"/>
      <c r="D286" s="42">
        <v>-1</v>
      </c>
      <c r="E286" s="42"/>
      <c r="F286" s="47" t="s">
        <v>505</v>
      </c>
      <c r="G286" s="47"/>
      <c r="H286" s="47" t="e">
        <f t="shared" si="9"/>
        <v>#VALUE!</v>
      </c>
      <c r="I286" s="47"/>
      <c r="J286" s="42"/>
      <c r="K286" s="42"/>
      <c r="L286" s="26"/>
      <c r="M286" s="26"/>
      <c r="N286" s="18"/>
      <c r="O286" s="15"/>
    </row>
    <row r="287" spans="1:15" s="1" customFormat="1" ht="63" customHeight="1" x14ac:dyDescent="0.2">
      <c r="A287" s="16" t="s">
        <v>12</v>
      </c>
      <c r="B287" s="45" t="s">
        <v>0</v>
      </c>
      <c r="C287" s="45"/>
      <c r="D287" s="45" t="s">
        <v>69</v>
      </c>
      <c r="E287" s="45"/>
      <c r="F287" s="44" t="s">
        <v>70</v>
      </c>
      <c r="G287" s="44"/>
      <c r="H287" s="44" t="s">
        <v>71</v>
      </c>
      <c r="I287" s="44"/>
      <c r="J287" s="46" t="s">
        <v>72</v>
      </c>
      <c r="K287" s="46"/>
      <c r="L287" s="28"/>
      <c r="M287" s="28"/>
      <c r="N287" s="29"/>
      <c r="O287" s="15"/>
    </row>
    <row r="288" spans="1:15" s="1" customFormat="1" ht="13.5" x14ac:dyDescent="0.2">
      <c r="A288" s="39">
        <v>3</v>
      </c>
      <c r="B288" s="42" t="s">
        <v>5</v>
      </c>
      <c r="C288" s="42"/>
      <c r="D288" s="42">
        <v>0</v>
      </c>
      <c r="E288" s="42"/>
      <c r="F288" s="47" t="s">
        <v>506</v>
      </c>
      <c r="G288" s="47"/>
      <c r="H288" s="47" t="e">
        <f t="shared" si="9"/>
        <v>#VALUE!</v>
      </c>
      <c r="I288" s="47"/>
      <c r="J288" s="42" t="s">
        <v>76</v>
      </c>
      <c r="K288" s="42"/>
      <c r="L288" s="26"/>
      <c r="M288" s="26"/>
      <c r="N288" s="18"/>
      <c r="O288" s="15"/>
    </row>
    <row r="289" spans="1:15" s="1" customFormat="1" ht="13.5" x14ac:dyDescent="0.2">
      <c r="A289" s="40"/>
      <c r="B289" s="42"/>
      <c r="C289" s="42"/>
      <c r="D289" s="42">
        <v>1</v>
      </c>
      <c r="E289" s="42"/>
      <c r="F289" s="47" t="s">
        <v>507</v>
      </c>
      <c r="G289" s="47"/>
      <c r="H289" s="47" t="e">
        <f t="shared" si="9"/>
        <v>#VALUE!</v>
      </c>
      <c r="I289" s="47"/>
      <c r="J289" s="42" t="s">
        <v>77</v>
      </c>
      <c r="K289" s="42"/>
      <c r="L289" s="26"/>
      <c r="M289" s="26"/>
      <c r="N289" s="18"/>
      <c r="O289" s="15"/>
    </row>
    <row r="290" spans="1:15" s="1" customFormat="1" ht="13.5" x14ac:dyDescent="0.2">
      <c r="A290" s="40"/>
      <c r="B290" s="42"/>
      <c r="C290" s="42"/>
      <c r="D290" s="42">
        <v>-1</v>
      </c>
      <c r="E290" s="42"/>
      <c r="F290" s="47" t="s">
        <v>508</v>
      </c>
      <c r="G290" s="47"/>
      <c r="H290" s="47" t="e">
        <f t="shared" si="9"/>
        <v>#VALUE!</v>
      </c>
      <c r="I290" s="47"/>
      <c r="J290" s="42"/>
      <c r="K290" s="42"/>
      <c r="L290" s="26"/>
      <c r="M290" s="26"/>
      <c r="N290" s="18"/>
      <c r="O290" s="15"/>
    </row>
    <row r="291" spans="1:15" s="1" customFormat="1" ht="13.5" x14ac:dyDescent="0.2">
      <c r="A291" s="40"/>
      <c r="B291" s="42" t="s">
        <v>90</v>
      </c>
      <c r="C291" s="42"/>
      <c r="D291" s="42">
        <v>0</v>
      </c>
      <c r="E291" s="42"/>
      <c r="F291" s="47" t="s">
        <v>509</v>
      </c>
      <c r="G291" s="47"/>
      <c r="H291" s="47" t="e">
        <f t="shared" si="9"/>
        <v>#VALUE!</v>
      </c>
      <c r="I291" s="47"/>
      <c r="J291" s="42" t="s">
        <v>78</v>
      </c>
      <c r="K291" s="42"/>
      <c r="L291" s="26"/>
      <c r="M291" s="26"/>
      <c r="N291" s="18"/>
      <c r="O291" s="15"/>
    </row>
    <row r="292" spans="1:15" s="1" customFormat="1" ht="13.5" x14ac:dyDescent="0.2">
      <c r="A292" s="40"/>
      <c r="B292" s="42"/>
      <c r="C292" s="42"/>
      <c r="D292" s="42">
        <v>0.5</v>
      </c>
      <c r="E292" s="42"/>
      <c r="F292" s="47" t="s">
        <v>510</v>
      </c>
      <c r="G292" s="47"/>
      <c r="H292" s="47" t="e">
        <f t="shared" si="9"/>
        <v>#VALUE!</v>
      </c>
      <c r="I292" s="47"/>
      <c r="J292" s="42" t="s">
        <v>79</v>
      </c>
      <c r="K292" s="42"/>
      <c r="L292" s="26"/>
      <c r="M292" s="26"/>
      <c r="N292" s="18"/>
      <c r="O292" s="15"/>
    </row>
    <row r="293" spans="1:15" s="1" customFormat="1" ht="13.5" x14ac:dyDescent="0.2">
      <c r="A293" s="40"/>
      <c r="B293" s="42"/>
      <c r="C293" s="42"/>
      <c r="D293" s="42">
        <v>-0.5</v>
      </c>
      <c r="E293" s="42"/>
      <c r="F293" s="47" t="s">
        <v>511</v>
      </c>
      <c r="G293" s="47"/>
      <c r="H293" s="47" t="e">
        <f t="shared" si="9"/>
        <v>#VALUE!</v>
      </c>
      <c r="I293" s="47"/>
      <c r="J293" s="42"/>
      <c r="K293" s="42"/>
      <c r="L293" s="26"/>
      <c r="M293" s="26"/>
      <c r="N293" s="18"/>
      <c r="O293" s="15"/>
    </row>
    <row r="294" spans="1:15" s="1" customFormat="1" ht="13.5" x14ac:dyDescent="0.2">
      <c r="A294" s="40"/>
      <c r="B294" s="42" t="s">
        <v>4</v>
      </c>
      <c r="C294" s="42"/>
      <c r="D294" s="42">
        <v>0</v>
      </c>
      <c r="E294" s="42"/>
      <c r="F294" s="47" t="s">
        <v>512</v>
      </c>
      <c r="G294" s="47"/>
      <c r="H294" s="47" t="e">
        <f t="shared" si="9"/>
        <v>#VALUE!</v>
      </c>
      <c r="I294" s="47"/>
      <c r="J294" s="42" t="s">
        <v>80</v>
      </c>
      <c r="K294" s="42"/>
      <c r="L294" s="26"/>
      <c r="M294" s="26"/>
      <c r="N294" s="18"/>
      <c r="O294" s="15"/>
    </row>
    <row r="295" spans="1:15" s="1" customFormat="1" ht="13.5" x14ac:dyDescent="0.2">
      <c r="A295" s="40"/>
      <c r="B295" s="42"/>
      <c r="C295" s="42"/>
      <c r="D295" s="42">
        <v>0.5</v>
      </c>
      <c r="E295" s="42"/>
      <c r="F295" s="47" t="s">
        <v>513</v>
      </c>
      <c r="G295" s="47"/>
      <c r="H295" s="47" t="e">
        <f t="shared" si="9"/>
        <v>#VALUE!</v>
      </c>
      <c r="I295" s="47"/>
      <c r="J295" s="42" t="s">
        <v>81</v>
      </c>
      <c r="K295" s="42"/>
      <c r="L295" s="26"/>
      <c r="M295" s="26"/>
      <c r="N295" s="18"/>
      <c r="O295" s="15"/>
    </row>
    <row r="296" spans="1:15" s="1" customFormat="1" ht="13.5" x14ac:dyDescent="0.2">
      <c r="A296" s="40"/>
      <c r="B296" s="42"/>
      <c r="C296" s="42"/>
      <c r="D296" s="42">
        <v>-0.5</v>
      </c>
      <c r="E296" s="42"/>
      <c r="F296" s="47" t="s">
        <v>514</v>
      </c>
      <c r="G296" s="47"/>
      <c r="H296" s="47" t="e">
        <f t="shared" si="9"/>
        <v>#VALUE!</v>
      </c>
      <c r="I296" s="47"/>
      <c r="J296" s="42"/>
      <c r="K296" s="42"/>
      <c r="L296" s="26"/>
      <c r="M296" s="26"/>
      <c r="N296" s="18"/>
      <c r="O296" s="15"/>
    </row>
    <row r="297" spans="1:15" s="1" customFormat="1" ht="13.5" x14ac:dyDescent="0.2">
      <c r="A297" s="40"/>
      <c r="B297" s="42" t="s">
        <v>42</v>
      </c>
      <c r="C297" s="42"/>
      <c r="D297" s="42">
        <v>0</v>
      </c>
      <c r="E297" s="42"/>
      <c r="F297" s="47" t="s">
        <v>515</v>
      </c>
      <c r="G297" s="47"/>
      <c r="H297" s="47" t="e">
        <f t="shared" si="9"/>
        <v>#VALUE!</v>
      </c>
      <c r="I297" s="47"/>
      <c r="J297" s="42" t="s">
        <v>82</v>
      </c>
      <c r="K297" s="42"/>
      <c r="L297" s="26"/>
      <c r="M297" s="26"/>
      <c r="N297" s="18"/>
      <c r="O297" s="15"/>
    </row>
    <row r="298" spans="1:15" s="1" customFormat="1" ht="13.5" x14ac:dyDescent="0.2">
      <c r="A298" s="40"/>
      <c r="B298" s="42"/>
      <c r="C298" s="42"/>
      <c r="D298" s="42">
        <v>5</v>
      </c>
      <c r="E298" s="42"/>
      <c r="F298" s="47" t="s">
        <v>516</v>
      </c>
      <c r="G298" s="47"/>
      <c r="H298" s="47" t="e">
        <f t="shared" si="9"/>
        <v>#VALUE!</v>
      </c>
      <c r="I298" s="47"/>
      <c r="J298" s="42" t="s">
        <v>83</v>
      </c>
      <c r="K298" s="42"/>
      <c r="L298" s="26"/>
      <c r="M298" s="26"/>
      <c r="N298" s="18"/>
      <c r="O298" s="15"/>
    </row>
    <row r="299" spans="1:15" s="1" customFormat="1" ht="13.5" x14ac:dyDescent="0.2">
      <c r="A299" s="40"/>
      <c r="B299" s="42"/>
      <c r="C299" s="42"/>
      <c r="D299" s="42">
        <v>-5</v>
      </c>
      <c r="E299" s="42"/>
      <c r="F299" s="47" t="s">
        <v>517</v>
      </c>
      <c r="G299" s="47"/>
      <c r="H299" s="47" t="e">
        <f t="shared" si="9"/>
        <v>#VALUE!</v>
      </c>
      <c r="I299" s="47"/>
      <c r="J299" s="42"/>
      <c r="K299" s="42"/>
      <c r="L299" s="26"/>
      <c r="M299" s="26"/>
      <c r="N299" s="18"/>
      <c r="O299" s="15"/>
    </row>
    <row r="300" spans="1:15" s="1" customFormat="1" ht="13.5" x14ac:dyDescent="0.2">
      <c r="A300" s="40"/>
      <c r="B300" s="42" t="s">
        <v>44</v>
      </c>
      <c r="C300" s="42"/>
      <c r="D300" s="42">
        <v>0</v>
      </c>
      <c r="E300" s="42"/>
      <c r="F300" s="47" t="s">
        <v>518</v>
      </c>
      <c r="G300" s="47"/>
      <c r="H300" s="47" t="e">
        <f t="shared" si="9"/>
        <v>#VALUE!</v>
      </c>
      <c r="I300" s="47"/>
      <c r="J300" s="42" t="s">
        <v>84</v>
      </c>
      <c r="K300" s="42"/>
      <c r="L300" s="26"/>
      <c r="M300" s="26"/>
      <c r="N300" s="18"/>
      <c r="O300" s="15"/>
    </row>
    <row r="301" spans="1:15" s="1" customFormat="1" ht="13.5" x14ac:dyDescent="0.2">
      <c r="A301" s="40"/>
      <c r="B301" s="42"/>
      <c r="C301" s="42"/>
      <c r="D301" s="42">
        <v>5</v>
      </c>
      <c r="E301" s="42"/>
      <c r="F301" s="47" t="s">
        <v>519</v>
      </c>
      <c r="G301" s="47"/>
      <c r="H301" s="47" t="e">
        <f t="shared" si="9"/>
        <v>#VALUE!</v>
      </c>
      <c r="I301" s="47"/>
      <c r="J301" s="42" t="s">
        <v>85</v>
      </c>
      <c r="K301" s="42"/>
      <c r="L301" s="26"/>
      <c r="M301" s="26"/>
      <c r="N301" s="18"/>
      <c r="O301" s="15"/>
    </row>
    <row r="302" spans="1:15" s="1" customFormat="1" ht="13.5" x14ac:dyDescent="0.2">
      <c r="A302" s="40"/>
      <c r="B302" s="42"/>
      <c r="C302" s="42"/>
      <c r="D302" s="42">
        <v>-5</v>
      </c>
      <c r="E302" s="42"/>
      <c r="F302" s="47" t="s">
        <v>520</v>
      </c>
      <c r="G302" s="47"/>
      <c r="H302" s="47" t="e">
        <f t="shared" si="9"/>
        <v>#VALUE!</v>
      </c>
      <c r="I302" s="47"/>
      <c r="J302" s="42"/>
      <c r="K302" s="42"/>
      <c r="L302" s="26"/>
      <c r="M302" s="26"/>
      <c r="N302" s="18"/>
      <c r="O302" s="15"/>
    </row>
    <row r="303" spans="1:15" s="1" customFormat="1" ht="13.5" x14ac:dyDescent="0.2">
      <c r="A303" s="40"/>
      <c r="B303" s="42" t="s">
        <v>46</v>
      </c>
      <c r="C303" s="42"/>
      <c r="D303" s="42">
        <v>0</v>
      </c>
      <c r="E303" s="42"/>
      <c r="F303" s="47" t="s">
        <v>521</v>
      </c>
      <c r="G303" s="47"/>
      <c r="H303" s="47" t="e">
        <f t="shared" si="9"/>
        <v>#VALUE!</v>
      </c>
      <c r="I303" s="47"/>
      <c r="J303" s="42" t="s">
        <v>86</v>
      </c>
      <c r="K303" s="42"/>
      <c r="L303" s="26"/>
      <c r="M303" s="26"/>
      <c r="N303" s="18"/>
      <c r="O303" s="15"/>
    </row>
    <row r="304" spans="1:15" s="1" customFormat="1" ht="13.5" x14ac:dyDescent="0.2">
      <c r="A304" s="40"/>
      <c r="B304" s="42"/>
      <c r="C304" s="42"/>
      <c r="D304" s="42">
        <v>40</v>
      </c>
      <c r="E304" s="42"/>
      <c r="F304" s="47" t="s">
        <v>522</v>
      </c>
      <c r="G304" s="47"/>
      <c r="H304" s="47" t="e">
        <f t="shared" si="9"/>
        <v>#VALUE!</v>
      </c>
      <c r="I304" s="47"/>
      <c r="J304" s="42" t="s">
        <v>87</v>
      </c>
      <c r="K304" s="42"/>
      <c r="L304" s="26"/>
      <c r="M304" s="26"/>
      <c r="N304" s="18"/>
      <c r="O304" s="15"/>
    </row>
    <row r="305" spans="1:15" s="1" customFormat="1" ht="13.5" x14ac:dyDescent="0.2">
      <c r="A305" s="40"/>
      <c r="B305" s="42"/>
      <c r="C305" s="42"/>
      <c r="D305" s="42">
        <v>-40</v>
      </c>
      <c r="E305" s="42"/>
      <c r="F305" s="47" t="s">
        <v>523</v>
      </c>
      <c r="G305" s="47"/>
      <c r="H305" s="47" t="e">
        <f t="shared" si="9"/>
        <v>#VALUE!</v>
      </c>
      <c r="I305" s="47"/>
      <c r="J305" s="42"/>
      <c r="K305" s="42"/>
      <c r="L305" s="26"/>
      <c r="M305" s="26"/>
      <c r="N305" s="18"/>
      <c r="O305" s="15"/>
    </row>
    <row r="306" spans="1:15" s="1" customFormat="1" ht="13.5" x14ac:dyDescent="0.2">
      <c r="A306" s="40"/>
      <c r="B306" s="42" t="s">
        <v>48</v>
      </c>
      <c r="C306" s="42"/>
      <c r="D306" s="42">
        <v>0</v>
      </c>
      <c r="E306" s="42"/>
      <c r="F306" s="47" t="s">
        <v>524</v>
      </c>
      <c r="G306" s="47"/>
      <c r="H306" s="47" t="e">
        <f t="shared" si="9"/>
        <v>#VALUE!</v>
      </c>
      <c r="I306" s="47"/>
      <c r="J306" s="42" t="s">
        <v>88</v>
      </c>
      <c r="K306" s="42"/>
      <c r="L306" s="26"/>
      <c r="M306" s="26"/>
      <c r="N306" s="18"/>
      <c r="O306" s="15"/>
    </row>
    <row r="307" spans="1:15" s="1" customFormat="1" ht="13.5" x14ac:dyDescent="0.2">
      <c r="A307" s="40"/>
      <c r="B307" s="42"/>
      <c r="C307" s="42"/>
      <c r="D307" s="42">
        <v>40</v>
      </c>
      <c r="E307" s="42"/>
      <c r="F307" s="47" t="s">
        <v>525</v>
      </c>
      <c r="G307" s="47"/>
      <c r="H307" s="47" t="e">
        <f t="shared" si="9"/>
        <v>#VALUE!</v>
      </c>
      <c r="I307" s="47"/>
      <c r="J307" s="42" t="s">
        <v>89</v>
      </c>
      <c r="K307" s="42"/>
      <c r="L307" s="26"/>
      <c r="M307" s="26"/>
      <c r="N307" s="18"/>
      <c r="O307" s="15"/>
    </row>
    <row r="308" spans="1:15" s="1" customFormat="1" ht="13.5" x14ac:dyDescent="0.2">
      <c r="A308" s="40"/>
      <c r="B308" s="42"/>
      <c r="C308" s="42"/>
      <c r="D308" s="42">
        <v>-40</v>
      </c>
      <c r="E308" s="42"/>
      <c r="F308" s="47" t="s">
        <v>526</v>
      </c>
      <c r="G308" s="47"/>
      <c r="H308" s="47" t="e">
        <f t="shared" si="9"/>
        <v>#VALUE!</v>
      </c>
      <c r="I308" s="47"/>
      <c r="J308" s="42"/>
      <c r="K308" s="42"/>
      <c r="L308" s="26"/>
      <c r="M308" s="26"/>
      <c r="N308" s="18"/>
      <c r="O308" s="15"/>
    </row>
    <row r="309" spans="1:15" s="1" customFormat="1" ht="13.5" x14ac:dyDescent="0.2">
      <c r="A309" s="40"/>
      <c r="B309" s="42" t="s">
        <v>50</v>
      </c>
      <c r="C309" s="42"/>
      <c r="D309" s="42">
        <v>0</v>
      </c>
      <c r="E309" s="42"/>
      <c r="F309" s="48" t="s">
        <v>527</v>
      </c>
      <c r="G309" s="49"/>
      <c r="H309" s="47" t="e">
        <f>(D309-F309)*1000</f>
        <v>#VALUE!</v>
      </c>
      <c r="I309" s="47"/>
      <c r="J309" s="42" t="s">
        <v>74</v>
      </c>
      <c r="K309" s="42"/>
      <c r="L309" s="26"/>
      <c r="M309" s="26"/>
      <c r="N309" s="18"/>
      <c r="O309" s="15"/>
    </row>
    <row r="310" spans="1:15" s="1" customFormat="1" ht="13.5" x14ac:dyDescent="0.2">
      <c r="A310" s="40"/>
      <c r="B310" s="42"/>
      <c r="C310" s="42"/>
      <c r="D310" s="42">
        <v>1</v>
      </c>
      <c r="E310" s="42"/>
      <c r="F310" s="48" t="s">
        <v>528</v>
      </c>
      <c r="G310" s="49"/>
      <c r="H310" s="47" t="e">
        <f t="shared" ref="H310:H333" si="10">(D310-F310)*1000</f>
        <v>#VALUE!</v>
      </c>
      <c r="I310" s="47"/>
      <c r="J310" s="42" t="s">
        <v>75</v>
      </c>
      <c r="K310" s="42"/>
      <c r="L310" s="26"/>
      <c r="M310" s="26"/>
      <c r="N310" s="18"/>
      <c r="O310" s="15"/>
    </row>
    <row r="311" spans="1:15" s="1" customFormat="1" ht="13.5" x14ac:dyDescent="0.2">
      <c r="A311" s="40"/>
      <c r="B311" s="42"/>
      <c r="C311" s="42"/>
      <c r="D311" s="42">
        <v>-1</v>
      </c>
      <c r="E311" s="42"/>
      <c r="F311" s="48" t="s">
        <v>529</v>
      </c>
      <c r="G311" s="49"/>
      <c r="H311" s="47" t="e">
        <f t="shared" si="10"/>
        <v>#VALUE!</v>
      </c>
      <c r="I311" s="47"/>
      <c r="J311" s="42"/>
      <c r="K311" s="42"/>
      <c r="L311" s="26"/>
      <c r="M311" s="26"/>
      <c r="N311" s="18"/>
      <c r="O311" s="15"/>
    </row>
    <row r="312" spans="1:15" s="1" customFormat="1" ht="13.5" x14ac:dyDescent="0.2">
      <c r="A312" s="40"/>
      <c r="B312" s="42" t="s">
        <v>3</v>
      </c>
      <c r="C312" s="42"/>
      <c r="D312" s="42">
        <v>0</v>
      </c>
      <c r="E312" s="42"/>
      <c r="F312" s="48" t="s">
        <v>530</v>
      </c>
      <c r="G312" s="49"/>
      <c r="H312" s="47" t="e">
        <f t="shared" si="10"/>
        <v>#VALUE!</v>
      </c>
      <c r="I312" s="47"/>
      <c r="J312" s="42" t="s">
        <v>76</v>
      </c>
      <c r="K312" s="42"/>
      <c r="L312" s="26"/>
      <c r="M312" s="26"/>
      <c r="N312" s="18"/>
      <c r="O312" s="15"/>
    </row>
    <row r="313" spans="1:15" s="1" customFormat="1" ht="13.5" x14ac:dyDescent="0.2">
      <c r="A313" s="40"/>
      <c r="B313" s="42"/>
      <c r="C313" s="42"/>
      <c r="D313" s="42">
        <v>1</v>
      </c>
      <c r="E313" s="42"/>
      <c r="F313" s="48" t="s">
        <v>531</v>
      </c>
      <c r="G313" s="49"/>
      <c r="H313" s="47" t="e">
        <f t="shared" si="10"/>
        <v>#VALUE!</v>
      </c>
      <c r="I313" s="47"/>
      <c r="J313" s="42" t="s">
        <v>77</v>
      </c>
      <c r="K313" s="42"/>
      <c r="L313" s="26"/>
      <c r="M313" s="26"/>
      <c r="N313" s="18"/>
      <c r="O313" s="15"/>
    </row>
    <row r="314" spans="1:15" s="1" customFormat="1" ht="13.5" x14ac:dyDescent="0.2">
      <c r="A314" s="40"/>
      <c r="B314" s="42"/>
      <c r="C314" s="42"/>
      <c r="D314" s="42">
        <v>-1</v>
      </c>
      <c r="E314" s="42"/>
      <c r="F314" s="48" t="s">
        <v>532</v>
      </c>
      <c r="G314" s="49"/>
      <c r="H314" s="47" t="e">
        <f t="shared" si="10"/>
        <v>#VALUE!</v>
      </c>
      <c r="I314" s="47"/>
      <c r="J314" s="42"/>
      <c r="K314" s="42"/>
      <c r="L314" s="26"/>
      <c r="M314" s="26"/>
      <c r="N314" s="18"/>
      <c r="O314" s="15"/>
    </row>
    <row r="315" spans="1:15" s="1" customFormat="1" ht="13.5" x14ac:dyDescent="0.2">
      <c r="A315" s="40"/>
      <c r="B315" s="42" t="s">
        <v>91</v>
      </c>
      <c r="C315" s="42"/>
      <c r="D315" s="42">
        <v>0</v>
      </c>
      <c r="E315" s="42"/>
      <c r="F315" s="48" t="s">
        <v>533</v>
      </c>
      <c r="G315" s="49"/>
      <c r="H315" s="47" t="e">
        <f t="shared" si="10"/>
        <v>#VALUE!</v>
      </c>
      <c r="I315" s="47"/>
      <c r="J315" s="42" t="s">
        <v>78</v>
      </c>
      <c r="K315" s="42"/>
      <c r="L315" s="26"/>
      <c r="M315" s="26"/>
      <c r="N315" s="18"/>
      <c r="O315" s="15"/>
    </row>
    <row r="316" spans="1:15" s="1" customFormat="1" ht="13.5" x14ac:dyDescent="0.2">
      <c r="A316" s="40"/>
      <c r="B316" s="42"/>
      <c r="C316" s="42"/>
      <c r="D316" s="42">
        <v>1</v>
      </c>
      <c r="E316" s="42"/>
      <c r="F316" s="48" t="s">
        <v>534</v>
      </c>
      <c r="G316" s="49"/>
      <c r="H316" s="47" t="e">
        <f t="shared" si="10"/>
        <v>#VALUE!</v>
      </c>
      <c r="I316" s="47"/>
      <c r="J316" s="42" t="s">
        <v>93</v>
      </c>
      <c r="K316" s="42"/>
      <c r="L316" s="26"/>
      <c r="M316" s="26"/>
      <c r="N316" s="18"/>
      <c r="O316" s="15"/>
    </row>
    <row r="317" spans="1:15" s="1" customFormat="1" ht="13.5" x14ac:dyDescent="0.2">
      <c r="A317" s="40"/>
      <c r="B317" s="42"/>
      <c r="C317" s="42"/>
      <c r="D317" s="42">
        <v>-1</v>
      </c>
      <c r="E317" s="42"/>
      <c r="F317" s="48" t="s">
        <v>535</v>
      </c>
      <c r="G317" s="49"/>
      <c r="H317" s="47" t="e">
        <f t="shared" si="10"/>
        <v>#VALUE!</v>
      </c>
      <c r="I317" s="47"/>
      <c r="J317" s="42"/>
      <c r="K317" s="42"/>
      <c r="L317" s="26"/>
      <c r="M317" s="26"/>
      <c r="N317" s="18"/>
      <c r="O317" s="15"/>
    </row>
    <row r="318" spans="1:15" s="1" customFormat="1" ht="13.5" x14ac:dyDescent="0.2">
      <c r="A318" s="40"/>
      <c r="B318" s="42" t="s">
        <v>2</v>
      </c>
      <c r="C318" s="42"/>
      <c r="D318" s="42">
        <v>0</v>
      </c>
      <c r="E318" s="42"/>
      <c r="F318" s="48" t="s">
        <v>536</v>
      </c>
      <c r="G318" s="49"/>
      <c r="H318" s="47" t="e">
        <f t="shared" si="10"/>
        <v>#VALUE!</v>
      </c>
      <c r="I318" s="47"/>
      <c r="J318" s="42" t="s">
        <v>80</v>
      </c>
      <c r="K318" s="42"/>
      <c r="L318" s="26"/>
      <c r="M318" s="26"/>
      <c r="N318" s="18"/>
      <c r="O318" s="15"/>
    </row>
    <row r="319" spans="1:15" s="1" customFormat="1" ht="13.5" x14ac:dyDescent="0.2">
      <c r="A319" s="40"/>
      <c r="B319" s="42"/>
      <c r="C319" s="42"/>
      <c r="D319" s="42">
        <v>1</v>
      </c>
      <c r="E319" s="42"/>
      <c r="F319" s="48" t="s">
        <v>537</v>
      </c>
      <c r="G319" s="49"/>
      <c r="H319" s="47" t="e">
        <f t="shared" si="10"/>
        <v>#VALUE!</v>
      </c>
      <c r="I319" s="47"/>
      <c r="J319" s="42" t="s">
        <v>94</v>
      </c>
      <c r="K319" s="42"/>
      <c r="L319" s="26"/>
      <c r="M319" s="26"/>
      <c r="N319" s="18"/>
      <c r="O319" s="15"/>
    </row>
    <row r="320" spans="1:15" s="1" customFormat="1" ht="13.5" x14ac:dyDescent="0.2">
      <c r="A320" s="41"/>
      <c r="B320" s="42"/>
      <c r="C320" s="42"/>
      <c r="D320" s="42">
        <v>-1</v>
      </c>
      <c r="E320" s="42"/>
      <c r="F320" s="48" t="s">
        <v>538</v>
      </c>
      <c r="G320" s="49"/>
      <c r="H320" s="47" t="e">
        <f t="shared" si="10"/>
        <v>#VALUE!</v>
      </c>
      <c r="I320" s="47"/>
      <c r="J320" s="42"/>
      <c r="K320" s="42"/>
      <c r="L320" s="26"/>
      <c r="M320" s="26"/>
      <c r="N320" s="18"/>
      <c r="O320" s="15"/>
    </row>
    <row r="321" spans="1:15" s="1" customFormat="1" ht="63" customHeight="1" x14ac:dyDescent="0.2">
      <c r="A321" s="16" t="s">
        <v>12</v>
      </c>
      <c r="B321" s="45" t="s">
        <v>0</v>
      </c>
      <c r="C321" s="45"/>
      <c r="D321" s="45" t="s">
        <v>69</v>
      </c>
      <c r="E321" s="45"/>
      <c r="F321" s="44" t="s">
        <v>70</v>
      </c>
      <c r="G321" s="44"/>
      <c r="H321" s="44" t="s">
        <v>71</v>
      </c>
      <c r="I321" s="44"/>
      <c r="J321" s="46" t="s">
        <v>72</v>
      </c>
      <c r="K321" s="46"/>
      <c r="L321" s="28"/>
      <c r="M321" s="28"/>
      <c r="N321" s="29"/>
      <c r="O321" s="15"/>
    </row>
    <row r="322" spans="1:15" s="1" customFormat="1" ht="13.5" x14ac:dyDescent="0.2">
      <c r="A322" s="39">
        <v>3</v>
      </c>
      <c r="B322" s="42" t="s">
        <v>92</v>
      </c>
      <c r="C322" s="42"/>
      <c r="D322" s="42">
        <v>0</v>
      </c>
      <c r="E322" s="42"/>
      <c r="F322" s="47" t="s">
        <v>539</v>
      </c>
      <c r="G322" s="47"/>
      <c r="H322" s="47" t="e">
        <f t="shared" si="10"/>
        <v>#VALUE!</v>
      </c>
      <c r="I322" s="47"/>
      <c r="J322" s="42" t="s">
        <v>95</v>
      </c>
      <c r="K322" s="42"/>
      <c r="L322" s="26"/>
      <c r="M322" s="26"/>
      <c r="N322" s="18"/>
      <c r="O322" s="15"/>
    </row>
    <row r="323" spans="1:15" s="1" customFormat="1" ht="13.5" x14ac:dyDescent="0.2">
      <c r="A323" s="40"/>
      <c r="B323" s="42"/>
      <c r="C323" s="42"/>
      <c r="D323" s="42">
        <v>3</v>
      </c>
      <c r="E323" s="42"/>
      <c r="F323" s="47" t="s">
        <v>540</v>
      </c>
      <c r="G323" s="47"/>
      <c r="H323" s="47" t="e">
        <f t="shared" si="10"/>
        <v>#VALUE!</v>
      </c>
      <c r="I323" s="47"/>
      <c r="J323" s="42" t="s">
        <v>96</v>
      </c>
      <c r="K323" s="42"/>
      <c r="L323" s="26"/>
      <c r="M323" s="26"/>
      <c r="N323" s="18"/>
      <c r="O323" s="15"/>
    </row>
    <row r="324" spans="1:15" s="1" customFormat="1" ht="13.5" x14ac:dyDescent="0.2">
      <c r="A324" s="40"/>
      <c r="B324" s="42"/>
      <c r="C324" s="42"/>
      <c r="D324" s="42">
        <v>-3</v>
      </c>
      <c r="E324" s="42"/>
      <c r="F324" s="47" t="s">
        <v>541</v>
      </c>
      <c r="G324" s="47"/>
      <c r="H324" s="47" t="e">
        <f t="shared" si="10"/>
        <v>#VALUE!</v>
      </c>
      <c r="I324" s="47"/>
      <c r="J324" s="42"/>
      <c r="K324" s="42"/>
      <c r="L324" s="26"/>
      <c r="M324" s="26"/>
      <c r="N324" s="18"/>
      <c r="O324" s="15"/>
    </row>
    <row r="325" spans="1:15" s="1" customFormat="1" ht="13.5" x14ac:dyDescent="0.2">
      <c r="A325" s="40"/>
      <c r="B325" s="42" t="s">
        <v>58</v>
      </c>
      <c r="C325" s="42"/>
      <c r="D325" s="42">
        <v>0</v>
      </c>
      <c r="E325" s="42"/>
      <c r="F325" s="47" t="s">
        <v>542</v>
      </c>
      <c r="G325" s="47"/>
      <c r="H325" s="47" t="e">
        <f t="shared" si="10"/>
        <v>#VALUE!</v>
      </c>
      <c r="I325" s="47"/>
      <c r="J325" s="42" t="s">
        <v>82</v>
      </c>
      <c r="K325" s="42"/>
      <c r="L325" s="26"/>
      <c r="M325" s="26"/>
      <c r="N325" s="18"/>
      <c r="O325" s="15"/>
    </row>
    <row r="326" spans="1:15" s="1" customFormat="1" ht="13.5" x14ac:dyDescent="0.2">
      <c r="A326" s="40"/>
      <c r="B326" s="42"/>
      <c r="C326" s="42"/>
      <c r="D326" s="42">
        <v>3</v>
      </c>
      <c r="E326" s="42"/>
      <c r="F326" s="47" t="s">
        <v>543</v>
      </c>
      <c r="G326" s="47"/>
      <c r="H326" s="47" t="e">
        <f t="shared" si="10"/>
        <v>#VALUE!</v>
      </c>
      <c r="I326" s="47"/>
      <c r="J326" s="42" t="s">
        <v>97</v>
      </c>
      <c r="K326" s="42"/>
      <c r="L326" s="26"/>
      <c r="M326" s="26"/>
      <c r="N326" s="18"/>
      <c r="O326" s="15"/>
    </row>
    <row r="327" spans="1:15" s="1" customFormat="1" ht="13.5" x14ac:dyDescent="0.2">
      <c r="A327" s="40"/>
      <c r="B327" s="42"/>
      <c r="C327" s="42"/>
      <c r="D327" s="42">
        <v>-3</v>
      </c>
      <c r="E327" s="42"/>
      <c r="F327" s="47" t="s">
        <v>544</v>
      </c>
      <c r="G327" s="47"/>
      <c r="H327" s="47" t="e">
        <f t="shared" si="10"/>
        <v>#VALUE!</v>
      </c>
      <c r="I327" s="47"/>
      <c r="J327" s="42"/>
      <c r="K327" s="42"/>
      <c r="L327" s="26"/>
      <c r="M327" s="26"/>
      <c r="N327" s="18"/>
      <c r="O327" s="15"/>
    </row>
    <row r="328" spans="1:15" s="1" customFormat="1" ht="13.5" x14ac:dyDescent="0.2">
      <c r="A328" s="40"/>
      <c r="B328" s="42" t="s">
        <v>1</v>
      </c>
      <c r="C328" s="42"/>
      <c r="D328" s="42">
        <v>0</v>
      </c>
      <c r="E328" s="42"/>
      <c r="F328" s="47" t="s">
        <v>545</v>
      </c>
      <c r="G328" s="47"/>
      <c r="H328" s="47" t="e">
        <f t="shared" si="10"/>
        <v>#VALUE!</v>
      </c>
      <c r="I328" s="47"/>
      <c r="J328" s="42" t="s">
        <v>98</v>
      </c>
      <c r="K328" s="42"/>
      <c r="L328" s="26"/>
      <c r="M328" s="26"/>
      <c r="N328" s="18"/>
      <c r="O328" s="15"/>
    </row>
    <row r="329" spans="1:15" s="1" customFormat="1" ht="13.5" x14ac:dyDescent="0.2">
      <c r="A329" s="40"/>
      <c r="B329" s="42"/>
      <c r="C329" s="42"/>
      <c r="D329" s="42">
        <v>5</v>
      </c>
      <c r="E329" s="42"/>
      <c r="F329" s="47" t="s">
        <v>546</v>
      </c>
      <c r="G329" s="47"/>
      <c r="H329" s="47" t="e">
        <f t="shared" si="10"/>
        <v>#VALUE!</v>
      </c>
      <c r="I329" s="47"/>
      <c r="J329" s="42" t="s">
        <v>99</v>
      </c>
      <c r="K329" s="42"/>
      <c r="L329" s="26"/>
      <c r="M329" s="26"/>
      <c r="N329" s="18"/>
      <c r="O329" s="15"/>
    </row>
    <row r="330" spans="1:15" s="1" customFormat="1" ht="13.5" x14ac:dyDescent="0.2">
      <c r="A330" s="40"/>
      <c r="B330" s="42"/>
      <c r="C330" s="42"/>
      <c r="D330" s="42">
        <v>-5</v>
      </c>
      <c r="E330" s="42"/>
      <c r="F330" s="47" t="s">
        <v>547</v>
      </c>
      <c r="G330" s="47"/>
      <c r="H330" s="47" t="e">
        <f t="shared" si="10"/>
        <v>#VALUE!</v>
      </c>
      <c r="I330" s="47"/>
      <c r="J330" s="42"/>
      <c r="K330" s="42"/>
      <c r="L330" s="26"/>
      <c r="M330" s="26"/>
      <c r="N330" s="18"/>
      <c r="O330" s="15"/>
    </row>
    <row r="331" spans="1:15" s="1" customFormat="1" ht="13.5" x14ac:dyDescent="0.2">
      <c r="A331" s="40"/>
      <c r="B331" s="42" t="s">
        <v>62</v>
      </c>
      <c r="C331" s="42"/>
      <c r="D331" s="42">
        <v>0</v>
      </c>
      <c r="E331" s="42"/>
      <c r="F331" s="47" t="s">
        <v>548</v>
      </c>
      <c r="G331" s="47"/>
      <c r="H331" s="47" t="e">
        <f t="shared" si="10"/>
        <v>#VALUE!</v>
      </c>
      <c r="I331" s="47"/>
      <c r="J331" s="42" t="s">
        <v>84</v>
      </c>
      <c r="K331" s="42"/>
      <c r="L331" s="26"/>
      <c r="M331" s="26"/>
      <c r="N331" s="18"/>
      <c r="O331" s="15"/>
    </row>
    <row r="332" spans="1:15" s="1" customFormat="1" ht="13.5" x14ac:dyDescent="0.2">
      <c r="A332" s="40"/>
      <c r="B332" s="42"/>
      <c r="C332" s="42"/>
      <c r="D332" s="42">
        <v>5</v>
      </c>
      <c r="E332" s="42"/>
      <c r="F332" s="47" t="s">
        <v>549</v>
      </c>
      <c r="G332" s="47"/>
      <c r="H332" s="47" t="e">
        <f t="shared" si="10"/>
        <v>#VALUE!</v>
      </c>
      <c r="I332" s="47"/>
      <c r="J332" s="42" t="s">
        <v>85</v>
      </c>
      <c r="K332" s="42"/>
      <c r="L332" s="26"/>
      <c r="M332" s="26"/>
      <c r="N332" s="18"/>
      <c r="O332" s="15"/>
    </row>
    <row r="333" spans="1:15" s="1" customFormat="1" ht="13.5" x14ac:dyDescent="0.2">
      <c r="A333" s="41"/>
      <c r="B333" s="42"/>
      <c r="C333" s="42"/>
      <c r="D333" s="42">
        <v>-5</v>
      </c>
      <c r="E333" s="42"/>
      <c r="F333" s="47" t="s">
        <v>550</v>
      </c>
      <c r="G333" s="47"/>
      <c r="H333" s="47" t="e">
        <f t="shared" si="10"/>
        <v>#VALUE!</v>
      </c>
      <c r="I333" s="47"/>
      <c r="J333" s="42"/>
      <c r="K333" s="42"/>
      <c r="L333" s="26"/>
      <c r="M333" s="26"/>
      <c r="N333" s="18"/>
      <c r="O333" s="15"/>
    </row>
    <row r="334" spans="1:15" s="1" customFormat="1" ht="13.5" x14ac:dyDescent="0.2">
      <c r="A334" s="39">
        <v>4</v>
      </c>
      <c r="B334" s="42" t="s">
        <v>36</v>
      </c>
      <c r="C334" s="42"/>
      <c r="D334" s="42">
        <v>0</v>
      </c>
      <c r="E334" s="42"/>
      <c r="F334" s="47" t="s">
        <v>551</v>
      </c>
      <c r="G334" s="47"/>
      <c r="H334" s="47" t="e">
        <f>(D334-F334)*1000</f>
        <v>#VALUE!</v>
      </c>
      <c r="I334" s="47"/>
      <c r="J334" s="42" t="s">
        <v>74</v>
      </c>
      <c r="K334" s="42"/>
      <c r="L334" s="26"/>
      <c r="M334" s="26"/>
      <c r="N334" s="18"/>
      <c r="O334" s="15"/>
    </row>
    <row r="335" spans="1:15" s="1" customFormat="1" ht="13.5" x14ac:dyDescent="0.2">
      <c r="A335" s="40"/>
      <c r="B335" s="42"/>
      <c r="C335" s="42"/>
      <c r="D335" s="42">
        <v>1</v>
      </c>
      <c r="E335" s="42"/>
      <c r="F335" s="47" t="s">
        <v>552</v>
      </c>
      <c r="G335" s="47"/>
      <c r="H335" s="47" t="e">
        <f t="shared" ref="H335:H358" si="11">(D335-F335)*1000</f>
        <v>#VALUE!</v>
      </c>
      <c r="I335" s="47"/>
      <c r="J335" s="42" t="s">
        <v>75</v>
      </c>
      <c r="K335" s="42"/>
      <c r="L335" s="26"/>
      <c r="M335" s="26"/>
      <c r="N335" s="18"/>
      <c r="O335" s="15"/>
    </row>
    <row r="336" spans="1:15" s="1" customFormat="1" ht="13.5" x14ac:dyDescent="0.2">
      <c r="A336" s="40"/>
      <c r="B336" s="42"/>
      <c r="C336" s="42"/>
      <c r="D336" s="42">
        <v>-1</v>
      </c>
      <c r="E336" s="42"/>
      <c r="F336" s="47" t="s">
        <v>553</v>
      </c>
      <c r="G336" s="47"/>
      <c r="H336" s="47" t="e">
        <f t="shared" si="11"/>
        <v>#VALUE!</v>
      </c>
      <c r="I336" s="47"/>
      <c r="J336" s="42"/>
      <c r="K336" s="42"/>
      <c r="L336" s="26"/>
      <c r="M336" s="26"/>
      <c r="N336" s="18"/>
      <c r="O336" s="15"/>
    </row>
    <row r="337" spans="1:15" s="1" customFormat="1" ht="13.5" x14ac:dyDescent="0.2">
      <c r="A337" s="40"/>
      <c r="B337" s="42" t="s">
        <v>5</v>
      </c>
      <c r="C337" s="42"/>
      <c r="D337" s="42">
        <v>0</v>
      </c>
      <c r="E337" s="42"/>
      <c r="F337" s="47" t="s">
        <v>554</v>
      </c>
      <c r="G337" s="47"/>
      <c r="H337" s="47" t="e">
        <f t="shared" si="11"/>
        <v>#VALUE!</v>
      </c>
      <c r="I337" s="47"/>
      <c r="J337" s="42" t="s">
        <v>76</v>
      </c>
      <c r="K337" s="42"/>
      <c r="L337" s="26"/>
      <c r="M337" s="26"/>
      <c r="N337" s="18"/>
      <c r="O337" s="15"/>
    </row>
    <row r="338" spans="1:15" s="1" customFormat="1" ht="13.5" x14ac:dyDescent="0.2">
      <c r="A338" s="40"/>
      <c r="B338" s="42"/>
      <c r="C338" s="42"/>
      <c r="D338" s="42">
        <v>1</v>
      </c>
      <c r="E338" s="42"/>
      <c r="F338" s="47" t="s">
        <v>555</v>
      </c>
      <c r="G338" s="47"/>
      <c r="H338" s="47" t="e">
        <f t="shared" si="11"/>
        <v>#VALUE!</v>
      </c>
      <c r="I338" s="47"/>
      <c r="J338" s="42" t="s">
        <v>77</v>
      </c>
      <c r="K338" s="42"/>
      <c r="L338" s="26"/>
      <c r="M338" s="26"/>
      <c r="N338" s="18"/>
      <c r="O338" s="15"/>
    </row>
    <row r="339" spans="1:15" s="1" customFormat="1" ht="13.5" x14ac:dyDescent="0.2">
      <c r="A339" s="40"/>
      <c r="B339" s="42"/>
      <c r="C339" s="42"/>
      <c r="D339" s="42">
        <v>-1</v>
      </c>
      <c r="E339" s="42"/>
      <c r="F339" s="47" t="s">
        <v>556</v>
      </c>
      <c r="G339" s="47"/>
      <c r="H339" s="47" t="e">
        <f t="shared" si="11"/>
        <v>#VALUE!</v>
      </c>
      <c r="I339" s="47"/>
      <c r="J339" s="42"/>
      <c r="K339" s="42"/>
      <c r="L339" s="26"/>
      <c r="M339" s="26"/>
      <c r="N339" s="18"/>
      <c r="O339" s="15"/>
    </row>
    <row r="340" spans="1:15" s="1" customFormat="1" ht="13.5" x14ac:dyDescent="0.2">
      <c r="A340" s="40"/>
      <c r="B340" s="42" t="s">
        <v>90</v>
      </c>
      <c r="C340" s="42"/>
      <c r="D340" s="42">
        <v>0</v>
      </c>
      <c r="E340" s="42"/>
      <c r="F340" s="47" t="s">
        <v>557</v>
      </c>
      <c r="G340" s="47"/>
      <c r="H340" s="47" t="e">
        <f t="shared" si="11"/>
        <v>#VALUE!</v>
      </c>
      <c r="I340" s="47"/>
      <c r="J340" s="42" t="s">
        <v>78</v>
      </c>
      <c r="K340" s="42"/>
      <c r="L340" s="26"/>
      <c r="M340" s="26"/>
      <c r="N340" s="18"/>
      <c r="O340" s="15"/>
    </row>
    <row r="341" spans="1:15" s="1" customFormat="1" ht="13.5" x14ac:dyDescent="0.2">
      <c r="A341" s="40"/>
      <c r="B341" s="42"/>
      <c r="C341" s="42"/>
      <c r="D341" s="42">
        <v>0.5</v>
      </c>
      <c r="E341" s="42"/>
      <c r="F341" s="47" t="s">
        <v>558</v>
      </c>
      <c r="G341" s="47"/>
      <c r="H341" s="47" t="e">
        <f t="shared" si="11"/>
        <v>#VALUE!</v>
      </c>
      <c r="I341" s="47"/>
      <c r="J341" s="42" t="s">
        <v>79</v>
      </c>
      <c r="K341" s="42"/>
      <c r="L341" s="26"/>
      <c r="M341" s="26"/>
      <c r="N341" s="18"/>
      <c r="O341" s="15"/>
    </row>
    <row r="342" spans="1:15" s="1" customFormat="1" ht="13.5" x14ac:dyDescent="0.2">
      <c r="A342" s="40"/>
      <c r="B342" s="42"/>
      <c r="C342" s="42"/>
      <c r="D342" s="42">
        <v>-0.5</v>
      </c>
      <c r="E342" s="42"/>
      <c r="F342" s="47" t="s">
        <v>559</v>
      </c>
      <c r="G342" s="47"/>
      <c r="H342" s="47" t="e">
        <f t="shared" si="11"/>
        <v>#VALUE!</v>
      </c>
      <c r="I342" s="47"/>
      <c r="J342" s="42"/>
      <c r="K342" s="42"/>
      <c r="L342" s="26"/>
      <c r="M342" s="26"/>
      <c r="N342" s="18"/>
      <c r="O342" s="15"/>
    </row>
    <row r="343" spans="1:15" s="1" customFormat="1" ht="13.5" x14ac:dyDescent="0.2">
      <c r="A343" s="40"/>
      <c r="B343" s="42" t="s">
        <v>4</v>
      </c>
      <c r="C343" s="42"/>
      <c r="D343" s="42">
        <v>0</v>
      </c>
      <c r="E343" s="42"/>
      <c r="F343" s="47" t="s">
        <v>560</v>
      </c>
      <c r="G343" s="47"/>
      <c r="H343" s="47" t="e">
        <f t="shared" si="11"/>
        <v>#VALUE!</v>
      </c>
      <c r="I343" s="47"/>
      <c r="J343" s="42" t="s">
        <v>80</v>
      </c>
      <c r="K343" s="42"/>
      <c r="L343" s="26"/>
      <c r="M343" s="26"/>
      <c r="N343" s="18"/>
      <c r="O343" s="15"/>
    </row>
    <row r="344" spans="1:15" s="1" customFormat="1" ht="13.5" x14ac:dyDescent="0.2">
      <c r="A344" s="40"/>
      <c r="B344" s="42"/>
      <c r="C344" s="42"/>
      <c r="D344" s="42">
        <v>0.5</v>
      </c>
      <c r="E344" s="42"/>
      <c r="F344" s="47" t="s">
        <v>561</v>
      </c>
      <c r="G344" s="47"/>
      <c r="H344" s="47" t="e">
        <f t="shared" si="11"/>
        <v>#VALUE!</v>
      </c>
      <c r="I344" s="47"/>
      <c r="J344" s="42" t="s">
        <v>81</v>
      </c>
      <c r="K344" s="42"/>
      <c r="L344" s="26"/>
      <c r="M344" s="26"/>
      <c r="N344" s="18"/>
      <c r="O344" s="15"/>
    </row>
    <row r="345" spans="1:15" s="1" customFormat="1" ht="13.5" x14ac:dyDescent="0.2">
      <c r="A345" s="40"/>
      <c r="B345" s="42"/>
      <c r="C345" s="42"/>
      <c r="D345" s="42">
        <v>-0.5</v>
      </c>
      <c r="E345" s="42"/>
      <c r="F345" s="47" t="s">
        <v>562</v>
      </c>
      <c r="G345" s="47"/>
      <c r="H345" s="47" t="e">
        <f t="shared" si="11"/>
        <v>#VALUE!</v>
      </c>
      <c r="I345" s="47"/>
      <c r="J345" s="42"/>
      <c r="K345" s="42"/>
      <c r="L345" s="26"/>
      <c r="M345" s="26"/>
      <c r="N345" s="18"/>
      <c r="O345" s="15"/>
    </row>
    <row r="346" spans="1:15" s="1" customFormat="1" ht="13.5" x14ac:dyDescent="0.2">
      <c r="A346" s="40"/>
      <c r="B346" s="42" t="s">
        <v>42</v>
      </c>
      <c r="C346" s="42"/>
      <c r="D346" s="42">
        <v>0</v>
      </c>
      <c r="E346" s="42"/>
      <c r="F346" s="47" t="s">
        <v>563</v>
      </c>
      <c r="G346" s="47"/>
      <c r="H346" s="47" t="e">
        <f t="shared" si="11"/>
        <v>#VALUE!</v>
      </c>
      <c r="I346" s="47"/>
      <c r="J346" s="42" t="s">
        <v>82</v>
      </c>
      <c r="K346" s="42"/>
      <c r="L346" s="26"/>
      <c r="M346" s="26"/>
      <c r="N346" s="18"/>
      <c r="O346" s="15"/>
    </row>
    <row r="347" spans="1:15" s="1" customFormat="1" ht="13.5" x14ac:dyDescent="0.2">
      <c r="A347" s="40"/>
      <c r="B347" s="42"/>
      <c r="C347" s="42"/>
      <c r="D347" s="42">
        <v>5</v>
      </c>
      <c r="E347" s="42"/>
      <c r="F347" s="47" t="s">
        <v>564</v>
      </c>
      <c r="G347" s="47"/>
      <c r="H347" s="47" t="e">
        <f t="shared" si="11"/>
        <v>#VALUE!</v>
      </c>
      <c r="I347" s="47"/>
      <c r="J347" s="42" t="s">
        <v>83</v>
      </c>
      <c r="K347" s="42"/>
      <c r="L347" s="26"/>
      <c r="M347" s="26"/>
      <c r="N347" s="18"/>
      <c r="O347" s="15"/>
    </row>
    <row r="348" spans="1:15" s="1" customFormat="1" ht="13.5" x14ac:dyDescent="0.2">
      <c r="A348" s="40"/>
      <c r="B348" s="42"/>
      <c r="C348" s="42"/>
      <c r="D348" s="42">
        <v>-5</v>
      </c>
      <c r="E348" s="42"/>
      <c r="F348" s="47" t="s">
        <v>565</v>
      </c>
      <c r="G348" s="47"/>
      <c r="H348" s="47" t="e">
        <f t="shared" si="11"/>
        <v>#VALUE!</v>
      </c>
      <c r="I348" s="47"/>
      <c r="J348" s="42"/>
      <c r="K348" s="42"/>
      <c r="L348" s="26"/>
      <c r="M348" s="26"/>
      <c r="N348" s="18"/>
      <c r="O348" s="15"/>
    </row>
    <row r="349" spans="1:15" s="1" customFormat="1" ht="13.5" x14ac:dyDescent="0.2">
      <c r="A349" s="40"/>
      <c r="B349" s="42" t="s">
        <v>44</v>
      </c>
      <c r="C349" s="42"/>
      <c r="D349" s="42">
        <v>0</v>
      </c>
      <c r="E349" s="42"/>
      <c r="F349" s="47" t="s">
        <v>566</v>
      </c>
      <c r="G349" s="47"/>
      <c r="H349" s="47" t="e">
        <f t="shared" si="11"/>
        <v>#VALUE!</v>
      </c>
      <c r="I349" s="47"/>
      <c r="J349" s="42" t="s">
        <v>84</v>
      </c>
      <c r="K349" s="42"/>
      <c r="L349" s="26"/>
      <c r="M349" s="26"/>
      <c r="N349" s="18"/>
      <c r="O349" s="15"/>
    </row>
    <row r="350" spans="1:15" s="1" customFormat="1" ht="13.5" x14ac:dyDescent="0.2">
      <c r="A350" s="40"/>
      <c r="B350" s="42"/>
      <c r="C350" s="42"/>
      <c r="D350" s="42">
        <v>5</v>
      </c>
      <c r="E350" s="42"/>
      <c r="F350" s="47" t="s">
        <v>567</v>
      </c>
      <c r="G350" s="47"/>
      <c r="H350" s="47" t="e">
        <f t="shared" si="11"/>
        <v>#VALUE!</v>
      </c>
      <c r="I350" s="47"/>
      <c r="J350" s="42" t="s">
        <v>85</v>
      </c>
      <c r="K350" s="42"/>
      <c r="L350" s="26"/>
      <c r="M350" s="26"/>
      <c r="N350" s="18"/>
      <c r="O350" s="15"/>
    </row>
    <row r="351" spans="1:15" s="1" customFormat="1" ht="13.5" x14ac:dyDescent="0.2">
      <c r="A351" s="40"/>
      <c r="B351" s="42"/>
      <c r="C351" s="42"/>
      <c r="D351" s="42">
        <v>-5</v>
      </c>
      <c r="E351" s="42"/>
      <c r="F351" s="47" t="s">
        <v>568</v>
      </c>
      <c r="G351" s="47"/>
      <c r="H351" s="47" t="e">
        <f t="shared" si="11"/>
        <v>#VALUE!</v>
      </c>
      <c r="I351" s="47"/>
      <c r="J351" s="42"/>
      <c r="K351" s="42"/>
      <c r="L351" s="26"/>
      <c r="M351" s="26"/>
      <c r="N351" s="18"/>
      <c r="O351" s="15"/>
    </row>
    <row r="352" spans="1:15" s="1" customFormat="1" ht="13.5" x14ac:dyDescent="0.2">
      <c r="A352" s="40"/>
      <c r="B352" s="42" t="s">
        <v>46</v>
      </c>
      <c r="C352" s="42"/>
      <c r="D352" s="42">
        <v>0</v>
      </c>
      <c r="E352" s="42"/>
      <c r="F352" s="47" t="s">
        <v>569</v>
      </c>
      <c r="G352" s="47"/>
      <c r="H352" s="47" t="e">
        <f t="shared" si="11"/>
        <v>#VALUE!</v>
      </c>
      <c r="I352" s="47"/>
      <c r="J352" s="42" t="s">
        <v>86</v>
      </c>
      <c r="K352" s="42"/>
      <c r="L352" s="26"/>
      <c r="M352" s="26"/>
      <c r="N352" s="18"/>
      <c r="O352" s="15"/>
    </row>
    <row r="353" spans="1:15" s="1" customFormat="1" ht="13.5" x14ac:dyDescent="0.2">
      <c r="A353" s="40"/>
      <c r="B353" s="42"/>
      <c r="C353" s="42"/>
      <c r="D353" s="42">
        <v>40</v>
      </c>
      <c r="E353" s="42"/>
      <c r="F353" s="47" t="s">
        <v>570</v>
      </c>
      <c r="G353" s="47"/>
      <c r="H353" s="47" t="e">
        <f t="shared" si="11"/>
        <v>#VALUE!</v>
      </c>
      <c r="I353" s="47"/>
      <c r="J353" s="42" t="s">
        <v>87</v>
      </c>
      <c r="K353" s="42"/>
      <c r="L353" s="26"/>
      <c r="M353" s="26"/>
      <c r="N353" s="18"/>
      <c r="O353" s="15"/>
    </row>
    <row r="354" spans="1:15" s="1" customFormat="1" ht="13.5" x14ac:dyDescent="0.2">
      <c r="A354" s="41"/>
      <c r="B354" s="42"/>
      <c r="C354" s="42"/>
      <c r="D354" s="42">
        <v>-40</v>
      </c>
      <c r="E354" s="42"/>
      <c r="F354" s="47" t="s">
        <v>571</v>
      </c>
      <c r="G354" s="47"/>
      <c r="H354" s="47" t="e">
        <f t="shared" si="11"/>
        <v>#VALUE!</v>
      </c>
      <c r="I354" s="47"/>
      <c r="J354" s="42"/>
      <c r="K354" s="42"/>
      <c r="L354" s="26"/>
      <c r="M354" s="26"/>
      <c r="N354" s="18"/>
      <c r="O354" s="15"/>
    </row>
    <row r="355" spans="1:15" s="1" customFormat="1" ht="63" customHeight="1" x14ac:dyDescent="0.2">
      <c r="A355" s="16" t="s">
        <v>12</v>
      </c>
      <c r="B355" s="45" t="s">
        <v>0</v>
      </c>
      <c r="C355" s="45"/>
      <c r="D355" s="45" t="s">
        <v>69</v>
      </c>
      <c r="E355" s="45"/>
      <c r="F355" s="44" t="s">
        <v>70</v>
      </c>
      <c r="G355" s="44"/>
      <c r="H355" s="44" t="s">
        <v>71</v>
      </c>
      <c r="I355" s="44"/>
      <c r="J355" s="46" t="s">
        <v>72</v>
      </c>
      <c r="K355" s="46"/>
      <c r="L355" s="28"/>
      <c r="M355" s="28"/>
      <c r="N355" s="29"/>
      <c r="O355" s="15"/>
    </row>
    <row r="356" spans="1:15" s="1" customFormat="1" ht="13.5" x14ac:dyDescent="0.2">
      <c r="A356" s="39">
        <v>4</v>
      </c>
      <c r="B356" s="42" t="s">
        <v>48</v>
      </c>
      <c r="C356" s="42"/>
      <c r="D356" s="42">
        <v>0</v>
      </c>
      <c r="E356" s="42"/>
      <c r="F356" s="47" t="s">
        <v>572</v>
      </c>
      <c r="G356" s="47"/>
      <c r="H356" s="47" t="e">
        <f t="shared" si="11"/>
        <v>#VALUE!</v>
      </c>
      <c r="I356" s="47"/>
      <c r="J356" s="42" t="s">
        <v>88</v>
      </c>
      <c r="K356" s="42"/>
      <c r="L356" s="26"/>
      <c r="M356" s="26"/>
      <c r="N356" s="18"/>
      <c r="O356" s="15"/>
    </row>
    <row r="357" spans="1:15" s="1" customFormat="1" ht="13.5" x14ac:dyDescent="0.2">
      <c r="A357" s="40"/>
      <c r="B357" s="42"/>
      <c r="C357" s="42"/>
      <c r="D357" s="42">
        <v>40</v>
      </c>
      <c r="E357" s="42"/>
      <c r="F357" s="47" t="s">
        <v>573</v>
      </c>
      <c r="G357" s="47"/>
      <c r="H357" s="47" t="e">
        <f t="shared" si="11"/>
        <v>#VALUE!</v>
      </c>
      <c r="I357" s="47"/>
      <c r="J357" s="42" t="s">
        <v>89</v>
      </c>
      <c r="K357" s="42"/>
      <c r="L357" s="26"/>
      <c r="M357" s="26"/>
      <c r="N357" s="18"/>
      <c r="O357" s="15"/>
    </row>
    <row r="358" spans="1:15" s="1" customFormat="1" ht="13.5" x14ac:dyDescent="0.2">
      <c r="A358" s="40"/>
      <c r="B358" s="42"/>
      <c r="C358" s="42"/>
      <c r="D358" s="42">
        <v>-40</v>
      </c>
      <c r="E358" s="42"/>
      <c r="F358" s="47" t="s">
        <v>574</v>
      </c>
      <c r="G358" s="47"/>
      <c r="H358" s="47" t="e">
        <f t="shared" si="11"/>
        <v>#VALUE!</v>
      </c>
      <c r="I358" s="47"/>
      <c r="J358" s="42"/>
      <c r="K358" s="42"/>
      <c r="L358" s="26"/>
      <c r="M358" s="26"/>
      <c r="N358" s="18"/>
      <c r="O358" s="15"/>
    </row>
    <row r="359" spans="1:15" s="1" customFormat="1" ht="13.5" x14ac:dyDescent="0.2">
      <c r="A359" s="40"/>
      <c r="B359" s="42" t="s">
        <v>50</v>
      </c>
      <c r="C359" s="42"/>
      <c r="D359" s="42">
        <v>0</v>
      </c>
      <c r="E359" s="42"/>
      <c r="F359" s="47" t="s">
        <v>575</v>
      </c>
      <c r="G359" s="47"/>
      <c r="H359" s="47" t="e">
        <f>(D359-F359)*1000</f>
        <v>#VALUE!</v>
      </c>
      <c r="I359" s="47"/>
      <c r="J359" s="42" t="s">
        <v>74</v>
      </c>
      <c r="K359" s="42"/>
      <c r="L359" s="26"/>
      <c r="M359" s="26"/>
      <c r="N359" s="18"/>
      <c r="O359" s="15"/>
    </row>
    <row r="360" spans="1:15" s="1" customFormat="1" ht="13.5" x14ac:dyDescent="0.2">
      <c r="A360" s="40"/>
      <c r="B360" s="42"/>
      <c r="C360" s="42"/>
      <c r="D360" s="42">
        <v>1</v>
      </c>
      <c r="E360" s="42"/>
      <c r="F360" s="47" t="s">
        <v>576</v>
      </c>
      <c r="G360" s="47"/>
      <c r="H360" s="47" t="e">
        <f t="shared" ref="H360:H382" si="12">(D360-F360)*1000</f>
        <v>#VALUE!</v>
      </c>
      <c r="I360" s="47"/>
      <c r="J360" s="42" t="s">
        <v>75</v>
      </c>
      <c r="K360" s="42"/>
      <c r="L360" s="26"/>
      <c r="M360" s="26"/>
      <c r="N360" s="18"/>
      <c r="O360" s="15"/>
    </row>
    <row r="361" spans="1:15" s="1" customFormat="1" ht="13.5" x14ac:dyDescent="0.2">
      <c r="A361" s="40"/>
      <c r="B361" s="42"/>
      <c r="C361" s="42"/>
      <c r="D361" s="42">
        <v>-1</v>
      </c>
      <c r="E361" s="42"/>
      <c r="F361" s="47" t="s">
        <v>577</v>
      </c>
      <c r="G361" s="47"/>
      <c r="H361" s="47" t="e">
        <f t="shared" si="12"/>
        <v>#VALUE!</v>
      </c>
      <c r="I361" s="47"/>
      <c r="J361" s="42"/>
      <c r="K361" s="42"/>
      <c r="L361" s="26"/>
      <c r="M361" s="26"/>
      <c r="N361" s="18"/>
      <c r="O361" s="15"/>
    </row>
    <row r="362" spans="1:15" s="1" customFormat="1" ht="13.5" x14ac:dyDescent="0.2">
      <c r="A362" s="40"/>
      <c r="B362" s="42" t="s">
        <v>3</v>
      </c>
      <c r="C362" s="42"/>
      <c r="D362" s="42">
        <v>0</v>
      </c>
      <c r="E362" s="42"/>
      <c r="F362" s="47" t="s">
        <v>578</v>
      </c>
      <c r="G362" s="47"/>
      <c r="H362" s="47" t="e">
        <f t="shared" si="12"/>
        <v>#VALUE!</v>
      </c>
      <c r="I362" s="47"/>
      <c r="J362" s="42" t="s">
        <v>76</v>
      </c>
      <c r="K362" s="42"/>
      <c r="L362" s="26"/>
      <c r="M362" s="26"/>
      <c r="N362" s="18"/>
      <c r="O362" s="15"/>
    </row>
    <row r="363" spans="1:15" s="1" customFormat="1" ht="13.5" x14ac:dyDescent="0.2">
      <c r="A363" s="40"/>
      <c r="B363" s="42"/>
      <c r="C363" s="42"/>
      <c r="D363" s="42">
        <v>1</v>
      </c>
      <c r="E363" s="42"/>
      <c r="F363" s="47" t="s">
        <v>579</v>
      </c>
      <c r="G363" s="47"/>
      <c r="H363" s="47" t="e">
        <f t="shared" si="12"/>
        <v>#VALUE!</v>
      </c>
      <c r="I363" s="47"/>
      <c r="J363" s="42" t="s">
        <v>77</v>
      </c>
      <c r="K363" s="42"/>
      <c r="L363" s="26"/>
      <c r="M363" s="26"/>
      <c r="N363" s="18"/>
      <c r="O363" s="15"/>
    </row>
    <row r="364" spans="1:15" s="1" customFormat="1" ht="13.5" x14ac:dyDescent="0.2">
      <c r="A364" s="40"/>
      <c r="B364" s="42"/>
      <c r="C364" s="42"/>
      <c r="D364" s="42">
        <v>-1</v>
      </c>
      <c r="E364" s="42"/>
      <c r="F364" s="47" t="s">
        <v>580</v>
      </c>
      <c r="G364" s="47"/>
      <c r="H364" s="47" t="e">
        <f t="shared" si="12"/>
        <v>#VALUE!</v>
      </c>
      <c r="I364" s="47"/>
      <c r="J364" s="42"/>
      <c r="K364" s="42"/>
      <c r="L364" s="26"/>
      <c r="M364" s="26"/>
      <c r="N364" s="18"/>
      <c r="O364" s="15"/>
    </row>
    <row r="365" spans="1:15" s="1" customFormat="1" ht="13.5" x14ac:dyDescent="0.2">
      <c r="A365" s="40"/>
      <c r="B365" s="42" t="s">
        <v>91</v>
      </c>
      <c r="C365" s="42"/>
      <c r="D365" s="42">
        <v>0</v>
      </c>
      <c r="E365" s="42"/>
      <c r="F365" s="47" t="s">
        <v>581</v>
      </c>
      <c r="G365" s="47"/>
      <c r="H365" s="47" t="e">
        <f t="shared" si="12"/>
        <v>#VALUE!</v>
      </c>
      <c r="I365" s="47"/>
      <c r="J365" s="42" t="s">
        <v>78</v>
      </c>
      <c r="K365" s="42"/>
      <c r="L365" s="26"/>
      <c r="M365" s="26"/>
      <c r="N365" s="18"/>
      <c r="O365" s="15"/>
    </row>
    <row r="366" spans="1:15" s="1" customFormat="1" ht="13.5" x14ac:dyDescent="0.2">
      <c r="A366" s="40"/>
      <c r="B366" s="42"/>
      <c r="C366" s="42"/>
      <c r="D366" s="42">
        <v>1</v>
      </c>
      <c r="E366" s="42"/>
      <c r="F366" s="47" t="s">
        <v>582</v>
      </c>
      <c r="G366" s="47"/>
      <c r="H366" s="47" t="e">
        <f t="shared" si="12"/>
        <v>#VALUE!</v>
      </c>
      <c r="I366" s="47"/>
      <c r="J366" s="42" t="s">
        <v>93</v>
      </c>
      <c r="K366" s="42"/>
      <c r="L366" s="26"/>
      <c r="M366" s="26"/>
      <c r="N366" s="18"/>
      <c r="O366" s="15"/>
    </row>
    <row r="367" spans="1:15" s="1" customFormat="1" ht="13.5" x14ac:dyDescent="0.2">
      <c r="A367" s="40"/>
      <c r="B367" s="42"/>
      <c r="C367" s="42"/>
      <c r="D367" s="42">
        <v>-1</v>
      </c>
      <c r="E367" s="42"/>
      <c r="F367" s="47" t="s">
        <v>583</v>
      </c>
      <c r="G367" s="47"/>
      <c r="H367" s="47" t="e">
        <f t="shared" si="12"/>
        <v>#VALUE!</v>
      </c>
      <c r="I367" s="47"/>
      <c r="J367" s="42"/>
      <c r="K367" s="42"/>
      <c r="L367" s="26"/>
      <c r="M367" s="26"/>
      <c r="N367" s="18"/>
      <c r="O367" s="15"/>
    </row>
    <row r="368" spans="1:15" s="1" customFormat="1" ht="13.5" x14ac:dyDescent="0.2">
      <c r="A368" s="40"/>
      <c r="B368" s="42" t="s">
        <v>2</v>
      </c>
      <c r="C368" s="42"/>
      <c r="D368" s="42">
        <v>0</v>
      </c>
      <c r="E368" s="42"/>
      <c r="F368" s="47" t="s">
        <v>584</v>
      </c>
      <c r="G368" s="47"/>
      <c r="H368" s="47" t="e">
        <f t="shared" si="12"/>
        <v>#VALUE!</v>
      </c>
      <c r="I368" s="47"/>
      <c r="J368" s="42" t="s">
        <v>80</v>
      </c>
      <c r="K368" s="42"/>
      <c r="L368" s="26"/>
      <c r="M368" s="26"/>
      <c r="N368" s="18"/>
      <c r="O368" s="15"/>
    </row>
    <row r="369" spans="1:15" s="1" customFormat="1" ht="13.5" x14ac:dyDescent="0.2">
      <c r="A369" s="40"/>
      <c r="B369" s="42"/>
      <c r="C369" s="42"/>
      <c r="D369" s="42">
        <v>1</v>
      </c>
      <c r="E369" s="42"/>
      <c r="F369" s="47" t="s">
        <v>585</v>
      </c>
      <c r="G369" s="47"/>
      <c r="H369" s="47" t="e">
        <f t="shared" si="12"/>
        <v>#VALUE!</v>
      </c>
      <c r="I369" s="47"/>
      <c r="J369" s="42" t="s">
        <v>94</v>
      </c>
      <c r="K369" s="42"/>
      <c r="L369" s="26"/>
      <c r="M369" s="26"/>
      <c r="N369" s="18"/>
      <c r="O369" s="15"/>
    </row>
    <row r="370" spans="1:15" s="1" customFormat="1" ht="13.5" x14ac:dyDescent="0.2">
      <c r="A370" s="40"/>
      <c r="B370" s="42"/>
      <c r="C370" s="42"/>
      <c r="D370" s="42">
        <v>-1</v>
      </c>
      <c r="E370" s="42"/>
      <c r="F370" s="47" t="s">
        <v>586</v>
      </c>
      <c r="G370" s="47"/>
      <c r="H370" s="47" t="e">
        <f t="shared" si="12"/>
        <v>#VALUE!</v>
      </c>
      <c r="I370" s="47"/>
      <c r="J370" s="42"/>
      <c r="K370" s="42"/>
      <c r="L370" s="26"/>
      <c r="M370" s="26"/>
      <c r="N370" s="18"/>
      <c r="O370" s="15"/>
    </row>
    <row r="371" spans="1:15" s="1" customFormat="1" ht="13.5" x14ac:dyDescent="0.2">
      <c r="A371" s="40"/>
      <c r="B371" s="42" t="s">
        <v>92</v>
      </c>
      <c r="C371" s="42"/>
      <c r="D371" s="42">
        <v>0</v>
      </c>
      <c r="E371" s="42"/>
      <c r="F371" s="47" t="s">
        <v>587</v>
      </c>
      <c r="G371" s="47"/>
      <c r="H371" s="47" t="e">
        <f t="shared" si="12"/>
        <v>#VALUE!</v>
      </c>
      <c r="I371" s="47"/>
      <c r="J371" s="42" t="s">
        <v>95</v>
      </c>
      <c r="K371" s="42"/>
      <c r="L371" s="26"/>
      <c r="M371" s="26"/>
      <c r="N371" s="18"/>
      <c r="O371" s="15"/>
    </row>
    <row r="372" spans="1:15" s="1" customFormat="1" ht="13.5" x14ac:dyDescent="0.2">
      <c r="A372" s="40"/>
      <c r="B372" s="42"/>
      <c r="C372" s="42"/>
      <c r="D372" s="42">
        <v>3</v>
      </c>
      <c r="E372" s="42"/>
      <c r="F372" s="47" t="s">
        <v>588</v>
      </c>
      <c r="G372" s="47"/>
      <c r="H372" s="47" t="e">
        <f t="shared" si="12"/>
        <v>#VALUE!</v>
      </c>
      <c r="I372" s="47"/>
      <c r="J372" s="42" t="s">
        <v>96</v>
      </c>
      <c r="K372" s="42"/>
      <c r="L372" s="26"/>
      <c r="M372" s="26"/>
      <c r="N372" s="18"/>
      <c r="O372" s="15"/>
    </row>
    <row r="373" spans="1:15" s="1" customFormat="1" ht="13.5" x14ac:dyDescent="0.2">
      <c r="A373" s="40"/>
      <c r="B373" s="42"/>
      <c r="C373" s="42"/>
      <c r="D373" s="42">
        <v>-3</v>
      </c>
      <c r="E373" s="42"/>
      <c r="F373" s="47" t="s">
        <v>589</v>
      </c>
      <c r="G373" s="47"/>
      <c r="H373" s="47" t="e">
        <f t="shared" si="12"/>
        <v>#VALUE!</v>
      </c>
      <c r="I373" s="47"/>
      <c r="J373" s="42"/>
      <c r="K373" s="42"/>
      <c r="L373" s="26"/>
      <c r="M373" s="26"/>
      <c r="N373" s="18"/>
      <c r="O373" s="15"/>
    </row>
    <row r="374" spans="1:15" s="1" customFormat="1" ht="13.5" x14ac:dyDescent="0.2">
      <c r="A374" s="40"/>
      <c r="B374" s="42" t="s">
        <v>58</v>
      </c>
      <c r="C374" s="42"/>
      <c r="D374" s="42">
        <v>0</v>
      </c>
      <c r="E374" s="42"/>
      <c r="F374" s="47" t="s">
        <v>590</v>
      </c>
      <c r="G374" s="47"/>
      <c r="H374" s="47" t="e">
        <f t="shared" si="12"/>
        <v>#VALUE!</v>
      </c>
      <c r="I374" s="47"/>
      <c r="J374" s="42" t="s">
        <v>82</v>
      </c>
      <c r="K374" s="42"/>
      <c r="L374" s="26"/>
      <c r="M374" s="26"/>
      <c r="N374" s="18"/>
      <c r="O374" s="15"/>
    </row>
    <row r="375" spans="1:15" s="1" customFormat="1" ht="13.5" x14ac:dyDescent="0.2">
      <c r="A375" s="40"/>
      <c r="B375" s="42"/>
      <c r="C375" s="42"/>
      <c r="D375" s="42">
        <v>3</v>
      </c>
      <c r="E375" s="42"/>
      <c r="F375" s="47" t="s">
        <v>591</v>
      </c>
      <c r="G375" s="47"/>
      <c r="H375" s="47" t="e">
        <f t="shared" si="12"/>
        <v>#VALUE!</v>
      </c>
      <c r="I375" s="47"/>
      <c r="J375" s="42" t="s">
        <v>97</v>
      </c>
      <c r="K375" s="42"/>
      <c r="L375" s="26"/>
      <c r="M375" s="26"/>
      <c r="N375" s="18"/>
      <c r="O375" s="15"/>
    </row>
    <row r="376" spans="1:15" s="1" customFormat="1" ht="13.5" x14ac:dyDescent="0.2">
      <c r="A376" s="40"/>
      <c r="B376" s="42"/>
      <c r="C376" s="42"/>
      <c r="D376" s="42">
        <v>-3</v>
      </c>
      <c r="E376" s="42"/>
      <c r="F376" s="47" t="s">
        <v>592</v>
      </c>
      <c r="G376" s="47"/>
      <c r="H376" s="47" t="e">
        <f t="shared" si="12"/>
        <v>#VALUE!</v>
      </c>
      <c r="I376" s="47"/>
      <c r="J376" s="42"/>
      <c r="K376" s="42"/>
      <c r="L376" s="26"/>
      <c r="M376" s="26"/>
      <c r="N376" s="18"/>
      <c r="O376" s="15"/>
    </row>
    <row r="377" spans="1:15" s="1" customFormat="1" ht="13.5" x14ac:dyDescent="0.2">
      <c r="A377" s="40"/>
      <c r="B377" s="42" t="s">
        <v>1</v>
      </c>
      <c r="C377" s="42"/>
      <c r="D377" s="42">
        <v>0</v>
      </c>
      <c r="E377" s="42"/>
      <c r="F377" s="47" t="s">
        <v>593</v>
      </c>
      <c r="G377" s="47"/>
      <c r="H377" s="47" t="e">
        <f t="shared" si="12"/>
        <v>#VALUE!</v>
      </c>
      <c r="I377" s="47"/>
      <c r="J377" s="42" t="s">
        <v>98</v>
      </c>
      <c r="K377" s="42"/>
      <c r="L377" s="26"/>
      <c r="M377" s="26"/>
      <c r="N377" s="18"/>
      <c r="O377" s="15"/>
    </row>
    <row r="378" spans="1:15" s="1" customFormat="1" ht="13.5" x14ac:dyDescent="0.2">
      <c r="A378" s="40"/>
      <c r="B378" s="42"/>
      <c r="C378" s="42"/>
      <c r="D378" s="42">
        <v>5</v>
      </c>
      <c r="E378" s="42"/>
      <c r="F378" s="47" t="s">
        <v>594</v>
      </c>
      <c r="G378" s="47"/>
      <c r="H378" s="47" t="e">
        <f t="shared" si="12"/>
        <v>#VALUE!</v>
      </c>
      <c r="I378" s="47"/>
      <c r="J378" s="42" t="s">
        <v>99</v>
      </c>
      <c r="K378" s="42"/>
      <c r="L378" s="26"/>
      <c r="M378" s="26"/>
      <c r="N378" s="18"/>
      <c r="O378" s="15"/>
    </row>
    <row r="379" spans="1:15" s="1" customFormat="1" ht="13.5" x14ac:dyDescent="0.2">
      <c r="A379" s="40"/>
      <c r="B379" s="42"/>
      <c r="C379" s="42"/>
      <c r="D379" s="42">
        <v>-5</v>
      </c>
      <c r="E379" s="42"/>
      <c r="F379" s="47" t="s">
        <v>595</v>
      </c>
      <c r="G379" s="47"/>
      <c r="H379" s="47" t="e">
        <f t="shared" si="12"/>
        <v>#VALUE!</v>
      </c>
      <c r="I379" s="47"/>
      <c r="J379" s="42"/>
      <c r="K379" s="42"/>
      <c r="L379" s="26"/>
      <c r="M379" s="26"/>
      <c r="N379" s="18"/>
      <c r="O379" s="15"/>
    </row>
    <row r="380" spans="1:15" s="1" customFormat="1" ht="13.5" x14ac:dyDescent="0.2">
      <c r="A380" s="40"/>
      <c r="B380" s="42" t="s">
        <v>62</v>
      </c>
      <c r="C380" s="42"/>
      <c r="D380" s="42">
        <v>0</v>
      </c>
      <c r="E380" s="42"/>
      <c r="F380" s="47" t="s">
        <v>596</v>
      </c>
      <c r="G380" s="47"/>
      <c r="H380" s="47" t="e">
        <f t="shared" si="12"/>
        <v>#VALUE!</v>
      </c>
      <c r="I380" s="47"/>
      <c r="J380" s="42" t="s">
        <v>84</v>
      </c>
      <c r="K380" s="42"/>
      <c r="L380" s="26"/>
      <c r="M380" s="26"/>
      <c r="N380" s="18"/>
      <c r="O380" s="15"/>
    </row>
    <row r="381" spans="1:15" s="1" customFormat="1" ht="13.5" x14ac:dyDescent="0.2">
      <c r="A381" s="40"/>
      <c r="B381" s="42"/>
      <c r="C381" s="42"/>
      <c r="D381" s="42">
        <v>5</v>
      </c>
      <c r="E381" s="42"/>
      <c r="F381" s="47" t="s">
        <v>597</v>
      </c>
      <c r="G381" s="47"/>
      <c r="H381" s="47" t="e">
        <f t="shared" si="12"/>
        <v>#VALUE!</v>
      </c>
      <c r="I381" s="47"/>
      <c r="J381" s="42" t="s">
        <v>85</v>
      </c>
      <c r="K381" s="42"/>
      <c r="L381" s="26"/>
      <c r="M381" s="26"/>
      <c r="N381" s="18"/>
      <c r="O381" s="15"/>
    </row>
    <row r="382" spans="1:15" s="1" customFormat="1" ht="13.5" x14ac:dyDescent="0.2">
      <c r="A382" s="41"/>
      <c r="B382" s="42"/>
      <c r="C382" s="42"/>
      <c r="D382" s="42">
        <v>-5</v>
      </c>
      <c r="E382" s="42"/>
      <c r="F382" s="47" t="s">
        <v>598</v>
      </c>
      <c r="G382" s="47"/>
      <c r="H382" s="47" t="e">
        <f t="shared" si="12"/>
        <v>#VALUE!</v>
      </c>
      <c r="I382" s="47"/>
      <c r="J382" s="42"/>
      <c r="K382" s="42"/>
      <c r="L382" s="26"/>
      <c r="M382" s="26"/>
      <c r="N382" s="18"/>
      <c r="O382" s="15"/>
    </row>
    <row r="383" spans="1:15" s="1" customFormat="1" ht="4.9000000000000004" customHeight="1" x14ac:dyDescent="0.2">
      <c r="A383" s="18"/>
      <c r="B383" s="18"/>
      <c r="C383" s="18"/>
      <c r="D383" s="24"/>
      <c r="E383" s="24"/>
      <c r="F383" s="24"/>
      <c r="G383" s="24"/>
      <c r="H383" s="25"/>
      <c r="I383" s="25"/>
      <c r="J383" s="25"/>
      <c r="K383" s="25"/>
      <c r="L383" s="26"/>
      <c r="M383" s="26"/>
      <c r="N383" s="18"/>
      <c r="O383" s="15"/>
    </row>
    <row r="384" spans="1:15" s="1" customFormat="1" ht="13.5" x14ac:dyDescent="0.2">
      <c r="A384" s="27" t="s">
        <v>100</v>
      </c>
      <c r="B384" s="18"/>
      <c r="C384" s="18"/>
      <c r="D384" s="24"/>
      <c r="E384" s="24"/>
      <c r="F384" s="24"/>
      <c r="G384" s="24"/>
      <c r="H384" s="25"/>
      <c r="I384" s="25"/>
      <c r="J384" s="25"/>
      <c r="K384" s="25"/>
      <c r="L384" s="26"/>
      <c r="M384" s="26"/>
      <c r="N384" s="18"/>
      <c r="O384" s="15"/>
    </row>
    <row r="385" spans="1:15" s="1" customFormat="1" ht="5.45" customHeight="1" x14ac:dyDescent="0.2">
      <c r="A385" s="18"/>
      <c r="B385" s="18"/>
      <c r="C385" s="18"/>
      <c r="D385" s="24"/>
      <c r="E385" s="24"/>
      <c r="F385" s="24"/>
      <c r="G385" s="24"/>
      <c r="H385" s="25"/>
      <c r="I385" s="25"/>
      <c r="J385" s="25"/>
      <c r="K385" s="25"/>
      <c r="L385" s="26"/>
      <c r="M385" s="26"/>
      <c r="N385" s="18"/>
      <c r="O385" s="15"/>
    </row>
    <row r="386" spans="1:15" s="1" customFormat="1" ht="31.15" customHeight="1" x14ac:dyDescent="0.2">
      <c r="A386" s="45" t="s">
        <v>101</v>
      </c>
      <c r="B386" s="45"/>
      <c r="C386" s="45" t="s">
        <v>102</v>
      </c>
      <c r="D386" s="45"/>
      <c r="E386" s="44" t="s">
        <v>103</v>
      </c>
      <c r="F386" s="44"/>
      <c r="G386" s="44"/>
      <c r="H386" s="44"/>
      <c r="I386" s="44"/>
      <c r="J386" s="44"/>
      <c r="K386" s="44"/>
      <c r="L386" s="44"/>
      <c r="M386" s="50" t="s">
        <v>599</v>
      </c>
      <c r="N386" s="50"/>
      <c r="O386" s="15"/>
    </row>
    <row r="387" spans="1:15" s="1" customFormat="1" ht="13.9" customHeight="1" x14ac:dyDescent="0.2">
      <c r="A387" s="45"/>
      <c r="B387" s="45"/>
      <c r="C387" s="45"/>
      <c r="D387" s="45"/>
      <c r="E387" s="43" t="s">
        <v>104</v>
      </c>
      <c r="F387" s="43"/>
      <c r="G387" s="43" t="s">
        <v>105</v>
      </c>
      <c r="H387" s="43"/>
      <c r="I387" s="43" t="s">
        <v>106</v>
      </c>
      <c r="J387" s="43"/>
      <c r="K387" s="43" t="s">
        <v>107</v>
      </c>
      <c r="L387" s="43"/>
      <c r="M387" s="50"/>
      <c r="N387" s="50"/>
      <c r="O387" s="15"/>
    </row>
    <row r="388" spans="1:15" s="1" customFormat="1" ht="15.6" customHeight="1" x14ac:dyDescent="0.2">
      <c r="A388" s="42" t="s">
        <v>108</v>
      </c>
      <c r="B388" s="42"/>
      <c r="C388" s="42" t="s">
        <v>109</v>
      </c>
      <c r="D388" s="42"/>
      <c r="E388" s="47" t="s">
        <v>600</v>
      </c>
      <c r="F388" s="47"/>
      <c r="G388" s="47" t="s">
        <v>601</v>
      </c>
      <c r="H388" s="47"/>
      <c r="I388" s="47" t="s">
        <v>602</v>
      </c>
      <c r="J388" s="47"/>
      <c r="K388" s="47" t="s">
        <v>603</v>
      </c>
      <c r="L388" s="47"/>
      <c r="M388" s="42">
        <v>175</v>
      </c>
      <c r="N388" s="42"/>
      <c r="O388" s="15"/>
    </row>
    <row r="389" spans="1:15" s="1" customFormat="1" ht="13.5" x14ac:dyDescent="0.2">
      <c r="A389" s="18"/>
      <c r="B389" s="18"/>
      <c r="C389" s="18"/>
      <c r="D389" s="24"/>
      <c r="E389" s="24"/>
      <c r="F389" s="24"/>
      <c r="G389" s="24"/>
      <c r="H389" s="25"/>
      <c r="I389" s="25"/>
      <c r="J389" s="25"/>
      <c r="K389" s="25"/>
      <c r="L389" s="26"/>
      <c r="M389" s="26"/>
      <c r="N389" s="18"/>
      <c r="O389" s="15"/>
    </row>
    <row r="390" spans="1:15" s="1" customFormat="1" ht="13.5" x14ac:dyDescent="0.2">
      <c r="A390" s="27" t="s">
        <v>110</v>
      </c>
      <c r="B390" s="18"/>
      <c r="C390" s="18"/>
      <c r="D390" s="24"/>
      <c r="E390" s="24"/>
      <c r="F390" s="24"/>
      <c r="G390" s="24"/>
      <c r="H390" s="25"/>
      <c r="I390" s="25"/>
      <c r="J390" s="25"/>
      <c r="K390" s="25"/>
      <c r="L390" s="26"/>
      <c r="M390" s="26"/>
      <c r="N390" s="18"/>
      <c r="O390" s="15"/>
    </row>
    <row r="391" spans="1:15" s="1" customFormat="1" ht="6.6" customHeight="1" x14ac:dyDescent="0.2">
      <c r="A391" s="18"/>
      <c r="B391" s="18"/>
      <c r="C391" s="18"/>
      <c r="D391" s="24"/>
      <c r="E391" s="24"/>
      <c r="F391" s="24"/>
      <c r="G391" s="24"/>
      <c r="H391" s="25"/>
      <c r="I391" s="25"/>
      <c r="J391" s="25"/>
      <c r="K391" s="25"/>
      <c r="L391" s="26"/>
      <c r="M391" s="26"/>
      <c r="N391" s="18"/>
      <c r="O391" s="15"/>
    </row>
    <row r="392" spans="1:15" s="1" customFormat="1" ht="13.5" x14ac:dyDescent="0.2">
      <c r="A392" s="27" t="s">
        <v>111</v>
      </c>
      <c r="B392" s="18"/>
      <c r="C392" s="18"/>
      <c r="D392" s="24"/>
      <c r="E392" s="24"/>
      <c r="F392" s="24"/>
      <c r="G392" s="24"/>
      <c r="H392" s="25"/>
      <c r="I392" s="25"/>
      <c r="J392" s="25"/>
      <c r="K392" s="25"/>
      <c r="L392" s="26"/>
      <c r="M392" s="26"/>
      <c r="N392" s="18"/>
      <c r="O392" s="15"/>
    </row>
    <row r="393" spans="1:15" s="1" customFormat="1" ht="7.15" customHeight="1" x14ac:dyDescent="0.2">
      <c r="A393" s="18"/>
      <c r="B393" s="18"/>
      <c r="C393" s="18"/>
      <c r="D393" s="24"/>
      <c r="E393" s="24"/>
      <c r="F393" s="24"/>
      <c r="G393" s="24"/>
      <c r="H393" s="25"/>
      <c r="I393" s="25"/>
      <c r="J393" s="25"/>
      <c r="K393" s="25"/>
      <c r="L393" s="26"/>
      <c r="M393" s="26"/>
      <c r="N393" s="18"/>
      <c r="O393" s="15"/>
    </row>
    <row r="394" spans="1:15" s="1" customFormat="1" ht="67.150000000000006" customHeight="1" x14ac:dyDescent="0.2">
      <c r="A394" s="16" t="s">
        <v>12</v>
      </c>
      <c r="B394" s="45" t="s">
        <v>0</v>
      </c>
      <c r="C394" s="45"/>
      <c r="D394" s="45" t="s">
        <v>112</v>
      </c>
      <c r="E394" s="45"/>
      <c r="F394" s="44" t="s">
        <v>113</v>
      </c>
      <c r="G394" s="44"/>
      <c r="H394" s="44" t="s">
        <v>114</v>
      </c>
      <c r="I394" s="44"/>
      <c r="J394" s="44" t="s">
        <v>115</v>
      </c>
      <c r="K394" s="44"/>
      <c r="L394" s="26"/>
      <c r="M394" s="26"/>
      <c r="N394" s="18"/>
      <c r="O394" s="15"/>
    </row>
    <row r="395" spans="1:15" s="1" customFormat="1" ht="13.5" x14ac:dyDescent="0.2">
      <c r="A395" s="51">
        <v>1</v>
      </c>
      <c r="B395" s="42" t="s">
        <v>73</v>
      </c>
      <c r="C395" s="42"/>
      <c r="D395" s="43">
        <v>100</v>
      </c>
      <c r="E395" s="43"/>
      <c r="F395" s="43" t="s">
        <v>116</v>
      </c>
      <c r="G395" s="43"/>
      <c r="H395" s="54">
        <v>1E-3</v>
      </c>
      <c r="I395" s="54"/>
      <c r="J395" s="43">
        <v>0.1</v>
      </c>
      <c r="K395" s="43"/>
      <c r="L395" s="26"/>
      <c r="M395" s="26"/>
      <c r="N395" s="18"/>
      <c r="O395" s="15"/>
    </row>
    <row r="396" spans="1:15" s="1" customFormat="1" ht="13.5" x14ac:dyDescent="0.2">
      <c r="A396" s="52"/>
      <c r="B396" s="42">
        <v>500</v>
      </c>
      <c r="C396" s="42"/>
      <c r="D396" s="43">
        <v>500</v>
      </c>
      <c r="E396" s="43"/>
      <c r="F396" s="43" t="s">
        <v>117</v>
      </c>
      <c r="G396" s="43"/>
      <c r="H396" s="54">
        <v>8.0000000000000002E-3</v>
      </c>
      <c r="I396" s="54"/>
      <c r="J396" s="43"/>
      <c r="K396" s="43"/>
      <c r="L396" s="26"/>
      <c r="M396" s="26"/>
      <c r="N396" s="18"/>
      <c r="O396" s="15"/>
    </row>
    <row r="397" spans="1:15" s="1" customFormat="1" ht="13.5" x14ac:dyDescent="0.2">
      <c r="A397" s="52"/>
      <c r="B397" s="42">
        <v>200</v>
      </c>
      <c r="C397" s="42"/>
      <c r="D397" s="43">
        <v>200</v>
      </c>
      <c r="E397" s="43"/>
      <c r="F397" s="43" t="s">
        <v>117</v>
      </c>
      <c r="G397" s="43"/>
      <c r="H397" s="54">
        <v>7.0000000000000001E-3</v>
      </c>
      <c r="I397" s="54"/>
      <c r="J397" s="43"/>
      <c r="K397" s="43"/>
      <c r="L397" s="26"/>
      <c r="M397" s="26"/>
      <c r="N397" s="18"/>
      <c r="O397" s="15"/>
    </row>
    <row r="398" spans="1:15" s="1" customFormat="1" ht="13.5" x14ac:dyDescent="0.2">
      <c r="A398" s="52"/>
      <c r="B398" s="42">
        <v>100</v>
      </c>
      <c r="C398" s="42"/>
      <c r="D398" s="43">
        <v>100</v>
      </c>
      <c r="E398" s="43"/>
      <c r="F398" s="43" t="s">
        <v>117</v>
      </c>
      <c r="G398" s="43"/>
      <c r="H398" s="54">
        <v>3.0000000000000001E-3</v>
      </c>
      <c r="I398" s="54"/>
      <c r="J398" s="43"/>
      <c r="K398" s="43"/>
      <c r="L398" s="26"/>
      <c r="M398" s="26"/>
      <c r="N398" s="18"/>
      <c r="O398" s="15"/>
    </row>
    <row r="399" spans="1:15" s="1" customFormat="1" ht="13.5" x14ac:dyDescent="0.2">
      <c r="A399" s="52"/>
      <c r="B399" s="42">
        <v>50</v>
      </c>
      <c r="C399" s="42"/>
      <c r="D399" s="43">
        <v>50</v>
      </c>
      <c r="E399" s="43"/>
      <c r="F399" s="43" t="s">
        <v>117</v>
      </c>
      <c r="G399" s="43"/>
      <c r="H399" s="54">
        <v>8.9999999999999998E-4</v>
      </c>
      <c r="I399" s="54"/>
      <c r="J399" s="43"/>
      <c r="K399" s="43"/>
      <c r="L399" s="26"/>
      <c r="M399" s="26"/>
      <c r="N399" s="18"/>
      <c r="O399" s="15"/>
    </row>
    <row r="400" spans="1:15" s="1" customFormat="1" ht="13.5" x14ac:dyDescent="0.2">
      <c r="A400" s="52"/>
      <c r="B400" s="42">
        <v>20</v>
      </c>
      <c r="C400" s="42"/>
      <c r="D400" s="43">
        <v>20</v>
      </c>
      <c r="E400" s="43"/>
      <c r="F400" s="43" t="s">
        <v>117</v>
      </c>
      <c r="G400" s="43"/>
      <c r="H400" s="54">
        <v>1E-3</v>
      </c>
      <c r="I400" s="54"/>
      <c r="J400" s="43"/>
      <c r="K400" s="43"/>
      <c r="L400" s="26"/>
      <c r="M400" s="26"/>
      <c r="N400" s="18"/>
      <c r="O400" s="15"/>
    </row>
    <row r="401" spans="1:15" s="1" customFormat="1" ht="13.5" x14ac:dyDescent="0.2">
      <c r="A401" s="52"/>
      <c r="B401" s="42">
        <v>10</v>
      </c>
      <c r="C401" s="42"/>
      <c r="D401" s="43">
        <v>10</v>
      </c>
      <c r="E401" s="43"/>
      <c r="F401" s="43" t="s">
        <v>117</v>
      </c>
      <c r="G401" s="43"/>
      <c r="H401" s="54">
        <v>2E-3</v>
      </c>
      <c r="I401" s="54"/>
      <c r="J401" s="43"/>
      <c r="K401" s="43"/>
      <c r="L401" s="26"/>
      <c r="M401" s="26"/>
      <c r="N401" s="18"/>
      <c r="O401" s="15"/>
    </row>
    <row r="402" spans="1:15" s="1" customFormat="1" ht="13.5" x14ac:dyDescent="0.2">
      <c r="A402" s="52"/>
      <c r="B402" s="42">
        <v>5</v>
      </c>
      <c r="C402" s="42"/>
      <c r="D402" s="43">
        <v>50</v>
      </c>
      <c r="E402" s="43"/>
      <c r="F402" s="43" t="s">
        <v>118</v>
      </c>
      <c r="G402" s="43"/>
      <c r="H402" s="54">
        <v>7.0000000000000001E-3</v>
      </c>
      <c r="I402" s="54"/>
      <c r="J402" s="43"/>
      <c r="K402" s="43"/>
      <c r="L402" s="26"/>
      <c r="M402" s="26"/>
      <c r="N402" s="18"/>
      <c r="O402" s="15"/>
    </row>
    <row r="403" spans="1:15" s="1" customFormat="1" ht="13.5" x14ac:dyDescent="0.2">
      <c r="A403" s="52"/>
      <c r="B403" s="42">
        <v>2</v>
      </c>
      <c r="C403" s="42"/>
      <c r="D403" s="43">
        <v>20</v>
      </c>
      <c r="E403" s="43"/>
      <c r="F403" s="43" t="s">
        <v>118</v>
      </c>
      <c r="G403" s="43"/>
      <c r="H403" s="54">
        <v>6.8999999999999999E-3</v>
      </c>
      <c r="I403" s="54"/>
      <c r="J403" s="43"/>
      <c r="K403" s="43"/>
      <c r="L403" s="26"/>
      <c r="M403" s="26"/>
      <c r="N403" s="18"/>
      <c r="O403" s="15"/>
    </row>
    <row r="404" spans="1:15" s="1" customFormat="1" ht="13.5" x14ac:dyDescent="0.2">
      <c r="A404" s="53"/>
      <c r="B404" s="42">
        <v>1</v>
      </c>
      <c r="C404" s="42"/>
      <c r="D404" s="43">
        <v>10</v>
      </c>
      <c r="E404" s="43"/>
      <c r="F404" s="43" t="s">
        <v>118</v>
      </c>
      <c r="G404" s="43"/>
      <c r="H404" s="54">
        <v>7.0000000000000001E-3</v>
      </c>
      <c r="I404" s="54"/>
      <c r="J404" s="43"/>
      <c r="K404" s="43"/>
      <c r="L404" s="26"/>
      <c r="M404" s="26"/>
      <c r="N404" s="18"/>
      <c r="O404" s="15"/>
    </row>
    <row r="405" spans="1:15" s="1" customFormat="1" ht="13.5" x14ac:dyDescent="0.2">
      <c r="A405" s="51">
        <v>2</v>
      </c>
      <c r="B405" s="42" t="s">
        <v>73</v>
      </c>
      <c r="C405" s="42"/>
      <c r="D405" s="43">
        <v>100</v>
      </c>
      <c r="E405" s="43"/>
      <c r="F405" s="43" t="s">
        <v>116</v>
      </c>
      <c r="G405" s="43"/>
      <c r="H405" s="54">
        <v>1E-3</v>
      </c>
      <c r="I405" s="54"/>
      <c r="J405" s="43">
        <v>0.1</v>
      </c>
      <c r="K405" s="43"/>
      <c r="L405" s="26"/>
      <c r="M405" s="26"/>
      <c r="N405" s="18"/>
      <c r="O405" s="15"/>
    </row>
    <row r="406" spans="1:15" s="1" customFormat="1" ht="13.5" x14ac:dyDescent="0.2">
      <c r="A406" s="52"/>
      <c r="B406" s="42">
        <v>500</v>
      </c>
      <c r="C406" s="42"/>
      <c r="D406" s="43">
        <v>500</v>
      </c>
      <c r="E406" s="43"/>
      <c r="F406" s="43" t="s">
        <v>117</v>
      </c>
      <c r="G406" s="43"/>
      <c r="H406" s="54">
        <v>5.0000000000000001E-3</v>
      </c>
      <c r="I406" s="54"/>
      <c r="J406" s="43"/>
      <c r="K406" s="43"/>
      <c r="L406" s="26"/>
      <c r="M406" s="26"/>
      <c r="N406" s="18"/>
      <c r="O406" s="15"/>
    </row>
    <row r="407" spans="1:15" s="1" customFormat="1" ht="13.5" x14ac:dyDescent="0.2">
      <c r="A407" s="52"/>
      <c r="B407" s="42">
        <v>200</v>
      </c>
      <c r="C407" s="42"/>
      <c r="D407" s="43">
        <v>200</v>
      </c>
      <c r="E407" s="43"/>
      <c r="F407" s="43" t="s">
        <v>117</v>
      </c>
      <c r="G407" s="43"/>
      <c r="H407" s="54">
        <v>7.0000000000000001E-3</v>
      </c>
      <c r="I407" s="54"/>
      <c r="J407" s="43"/>
      <c r="K407" s="43"/>
      <c r="L407" s="26"/>
      <c r="M407" s="26"/>
      <c r="N407" s="18"/>
      <c r="O407" s="15"/>
    </row>
    <row r="408" spans="1:15" s="1" customFormat="1" ht="13.5" x14ac:dyDescent="0.2">
      <c r="A408" s="52"/>
      <c r="B408" s="42">
        <v>100</v>
      </c>
      <c r="C408" s="42"/>
      <c r="D408" s="43">
        <v>100</v>
      </c>
      <c r="E408" s="43"/>
      <c r="F408" s="43" t="s">
        <v>117</v>
      </c>
      <c r="G408" s="43"/>
      <c r="H408" s="54">
        <v>6.0000000000000001E-3</v>
      </c>
      <c r="I408" s="54"/>
      <c r="J408" s="43"/>
      <c r="K408" s="43"/>
      <c r="L408" s="26"/>
      <c r="M408" s="26"/>
      <c r="N408" s="18"/>
      <c r="O408" s="15"/>
    </row>
    <row r="409" spans="1:15" s="1" customFormat="1" ht="13.5" x14ac:dyDescent="0.2">
      <c r="A409" s="52"/>
      <c r="B409" s="42">
        <v>50</v>
      </c>
      <c r="C409" s="42"/>
      <c r="D409" s="43">
        <v>50</v>
      </c>
      <c r="E409" s="43"/>
      <c r="F409" s="43" t="s">
        <v>117</v>
      </c>
      <c r="G409" s="43"/>
      <c r="H409" s="54">
        <v>3.0000000000000001E-3</v>
      </c>
      <c r="I409" s="54"/>
      <c r="J409" s="43"/>
      <c r="K409" s="43"/>
      <c r="L409" s="26"/>
      <c r="M409" s="26"/>
      <c r="N409" s="18"/>
      <c r="O409" s="15"/>
    </row>
    <row r="410" spans="1:15" s="1" customFormat="1" ht="13.5" x14ac:dyDescent="0.2">
      <c r="A410" s="52"/>
      <c r="B410" s="42">
        <v>20</v>
      </c>
      <c r="C410" s="42"/>
      <c r="D410" s="43">
        <v>20</v>
      </c>
      <c r="E410" s="43"/>
      <c r="F410" s="43" t="s">
        <v>117</v>
      </c>
      <c r="G410" s="43"/>
      <c r="H410" s="54">
        <v>2E-3</v>
      </c>
      <c r="I410" s="54"/>
      <c r="J410" s="43"/>
      <c r="K410" s="43"/>
      <c r="L410" s="26"/>
      <c r="M410" s="26"/>
      <c r="N410" s="18"/>
      <c r="O410" s="15"/>
    </row>
    <row r="411" spans="1:15" s="1" customFormat="1" ht="13.5" x14ac:dyDescent="0.2">
      <c r="A411" s="52"/>
      <c r="B411" s="42">
        <v>10</v>
      </c>
      <c r="C411" s="42"/>
      <c r="D411" s="43">
        <v>10</v>
      </c>
      <c r="E411" s="43"/>
      <c r="F411" s="43" t="s">
        <v>117</v>
      </c>
      <c r="G411" s="43"/>
      <c r="H411" s="54">
        <v>7.0000000000000001E-3</v>
      </c>
      <c r="I411" s="54"/>
      <c r="J411" s="43"/>
      <c r="K411" s="43"/>
      <c r="L411" s="26"/>
      <c r="M411" s="26"/>
      <c r="N411" s="18"/>
      <c r="O411" s="15"/>
    </row>
    <row r="412" spans="1:15" s="1" customFormat="1" ht="13.5" x14ac:dyDescent="0.2">
      <c r="A412" s="52"/>
      <c r="B412" s="42">
        <v>5</v>
      </c>
      <c r="C412" s="42"/>
      <c r="D412" s="43">
        <v>50</v>
      </c>
      <c r="E412" s="43"/>
      <c r="F412" s="43" t="s">
        <v>118</v>
      </c>
      <c r="G412" s="43"/>
      <c r="H412" s="54">
        <v>4.0000000000000001E-3</v>
      </c>
      <c r="I412" s="54"/>
      <c r="J412" s="43"/>
      <c r="K412" s="43"/>
      <c r="L412" s="26"/>
      <c r="M412" s="26"/>
      <c r="N412" s="18"/>
      <c r="O412" s="15"/>
    </row>
    <row r="413" spans="1:15" s="1" customFormat="1" ht="13.5" x14ac:dyDescent="0.2">
      <c r="A413" s="52"/>
      <c r="B413" s="42">
        <v>2</v>
      </c>
      <c r="C413" s="42"/>
      <c r="D413" s="43">
        <v>20</v>
      </c>
      <c r="E413" s="43"/>
      <c r="F413" s="43" t="s">
        <v>118</v>
      </c>
      <c r="G413" s="43"/>
      <c r="H413" s="54">
        <v>5.0000000000000001E-3</v>
      </c>
      <c r="I413" s="54"/>
      <c r="J413" s="43"/>
      <c r="K413" s="43"/>
      <c r="L413" s="26"/>
      <c r="M413" s="26"/>
      <c r="N413" s="18"/>
      <c r="O413" s="15"/>
    </row>
    <row r="414" spans="1:15" s="1" customFormat="1" ht="13.5" x14ac:dyDescent="0.2">
      <c r="A414" s="53"/>
      <c r="B414" s="42">
        <v>1</v>
      </c>
      <c r="C414" s="42"/>
      <c r="D414" s="43">
        <v>10</v>
      </c>
      <c r="E414" s="43"/>
      <c r="F414" s="43" t="s">
        <v>118</v>
      </c>
      <c r="G414" s="43"/>
      <c r="H414" s="54">
        <v>7.0000000000000001E-3</v>
      </c>
      <c r="I414" s="54"/>
      <c r="J414" s="43"/>
      <c r="K414" s="43"/>
      <c r="L414" s="26"/>
      <c r="M414" s="26"/>
      <c r="N414" s="18"/>
      <c r="O414" s="15"/>
    </row>
    <row r="415" spans="1:15" s="1" customFormat="1" ht="13.5" x14ac:dyDescent="0.2">
      <c r="A415" s="51">
        <v>3</v>
      </c>
      <c r="B415" s="42" t="s">
        <v>73</v>
      </c>
      <c r="C415" s="42"/>
      <c r="D415" s="43">
        <v>100</v>
      </c>
      <c r="E415" s="43"/>
      <c r="F415" s="43" t="s">
        <v>116</v>
      </c>
      <c r="G415" s="43"/>
      <c r="H415" s="54">
        <v>1E-3</v>
      </c>
      <c r="I415" s="54"/>
      <c r="J415" s="43">
        <v>0.1</v>
      </c>
      <c r="K415" s="43"/>
      <c r="L415" s="26"/>
      <c r="M415" s="26"/>
      <c r="N415" s="18"/>
      <c r="O415" s="15"/>
    </row>
    <row r="416" spans="1:15" s="1" customFormat="1" ht="13.5" x14ac:dyDescent="0.2">
      <c r="A416" s="52"/>
      <c r="B416" s="42">
        <v>500</v>
      </c>
      <c r="C416" s="42"/>
      <c r="D416" s="43">
        <v>500</v>
      </c>
      <c r="E416" s="43"/>
      <c r="F416" s="43" t="s">
        <v>117</v>
      </c>
      <c r="G416" s="43"/>
      <c r="H416" s="54">
        <v>4.0000000000000001E-3</v>
      </c>
      <c r="I416" s="54"/>
      <c r="J416" s="43"/>
      <c r="K416" s="43"/>
      <c r="L416" s="26"/>
      <c r="M416" s="26"/>
      <c r="N416" s="18"/>
      <c r="O416" s="15"/>
    </row>
    <row r="417" spans="1:15" s="1" customFormat="1" ht="13.5" x14ac:dyDescent="0.2">
      <c r="A417" s="52"/>
      <c r="B417" s="42">
        <v>200</v>
      </c>
      <c r="C417" s="42"/>
      <c r="D417" s="43">
        <v>200</v>
      </c>
      <c r="E417" s="43"/>
      <c r="F417" s="43" t="s">
        <v>117</v>
      </c>
      <c r="G417" s="43"/>
      <c r="H417" s="54">
        <v>4.0000000000000001E-3</v>
      </c>
      <c r="I417" s="54"/>
      <c r="J417" s="43"/>
      <c r="K417" s="43"/>
      <c r="L417" s="26"/>
      <c r="M417" s="26"/>
      <c r="N417" s="18"/>
      <c r="O417" s="15"/>
    </row>
    <row r="418" spans="1:15" s="1" customFormat="1" ht="13.5" x14ac:dyDescent="0.2">
      <c r="A418" s="52"/>
      <c r="B418" s="42">
        <v>100</v>
      </c>
      <c r="C418" s="42"/>
      <c r="D418" s="43">
        <v>100</v>
      </c>
      <c r="E418" s="43"/>
      <c r="F418" s="43" t="s">
        <v>117</v>
      </c>
      <c r="G418" s="43"/>
      <c r="H418" s="54">
        <v>5.0000000000000001E-3</v>
      </c>
      <c r="I418" s="54"/>
      <c r="J418" s="43"/>
      <c r="K418" s="43"/>
      <c r="L418" s="26"/>
      <c r="M418" s="26"/>
      <c r="N418" s="18"/>
      <c r="O418" s="15"/>
    </row>
    <row r="419" spans="1:15" s="1" customFormat="1" ht="13.5" x14ac:dyDescent="0.2">
      <c r="A419" s="52"/>
      <c r="B419" s="42">
        <v>50</v>
      </c>
      <c r="C419" s="42"/>
      <c r="D419" s="43">
        <v>50</v>
      </c>
      <c r="E419" s="43"/>
      <c r="F419" s="43" t="s">
        <v>117</v>
      </c>
      <c r="G419" s="43"/>
      <c r="H419" s="54">
        <v>7.0000000000000001E-3</v>
      </c>
      <c r="I419" s="54"/>
      <c r="J419" s="43"/>
      <c r="K419" s="43"/>
      <c r="L419" s="26"/>
      <c r="M419" s="26"/>
      <c r="N419" s="18"/>
      <c r="O419" s="15"/>
    </row>
    <row r="420" spans="1:15" s="1" customFormat="1" ht="13.5" x14ac:dyDescent="0.2">
      <c r="A420" s="52"/>
      <c r="B420" s="42">
        <v>20</v>
      </c>
      <c r="C420" s="42"/>
      <c r="D420" s="43">
        <v>20</v>
      </c>
      <c r="E420" s="43"/>
      <c r="F420" s="43" t="s">
        <v>117</v>
      </c>
      <c r="G420" s="43"/>
      <c r="H420" s="54">
        <v>4.0000000000000001E-3</v>
      </c>
      <c r="I420" s="54"/>
      <c r="J420" s="43"/>
      <c r="K420" s="43"/>
      <c r="L420" s="26"/>
      <c r="M420" s="26"/>
      <c r="N420" s="18"/>
      <c r="O420" s="15"/>
    </row>
    <row r="421" spans="1:15" s="1" customFormat="1" ht="13.5" x14ac:dyDescent="0.2">
      <c r="A421" s="52"/>
      <c r="B421" s="42">
        <v>10</v>
      </c>
      <c r="C421" s="42"/>
      <c r="D421" s="43">
        <v>10</v>
      </c>
      <c r="E421" s="43"/>
      <c r="F421" s="43" t="s">
        <v>117</v>
      </c>
      <c r="G421" s="43"/>
      <c r="H421" s="54">
        <v>7.0000000000000001E-3</v>
      </c>
      <c r="I421" s="54"/>
      <c r="J421" s="43"/>
      <c r="K421" s="43"/>
      <c r="L421" s="26"/>
      <c r="M421" s="26"/>
      <c r="N421" s="18"/>
      <c r="O421" s="15"/>
    </row>
    <row r="422" spans="1:15" s="1" customFormat="1" ht="13.5" x14ac:dyDescent="0.2">
      <c r="A422" s="52"/>
      <c r="B422" s="42">
        <v>5</v>
      </c>
      <c r="C422" s="42"/>
      <c r="D422" s="43">
        <v>50</v>
      </c>
      <c r="E422" s="43"/>
      <c r="F422" s="43" t="s">
        <v>118</v>
      </c>
      <c r="G422" s="43"/>
      <c r="H422" s="54">
        <v>8.0000000000000002E-3</v>
      </c>
      <c r="I422" s="54"/>
      <c r="J422" s="43"/>
      <c r="K422" s="43"/>
      <c r="L422" s="26"/>
      <c r="M422" s="26"/>
      <c r="N422" s="18"/>
      <c r="O422" s="15"/>
    </row>
    <row r="423" spans="1:15" s="1" customFormat="1" ht="13.5" x14ac:dyDescent="0.2">
      <c r="A423" s="52"/>
      <c r="B423" s="42">
        <v>2</v>
      </c>
      <c r="C423" s="42"/>
      <c r="D423" s="43">
        <v>20</v>
      </c>
      <c r="E423" s="43"/>
      <c r="F423" s="43" t="s">
        <v>118</v>
      </c>
      <c r="G423" s="43"/>
      <c r="H423" s="54">
        <v>4.0000000000000001E-3</v>
      </c>
      <c r="I423" s="54"/>
      <c r="J423" s="43"/>
      <c r="K423" s="43"/>
      <c r="L423" s="26"/>
      <c r="M423" s="26"/>
      <c r="N423" s="18"/>
      <c r="O423" s="15"/>
    </row>
    <row r="424" spans="1:15" s="1" customFormat="1" ht="13.5" x14ac:dyDescent="0.2">
      <c r="A424" s="53"/>
      <c r="B424" s="42">
        <v>1</v>
      </c>
      <c r="C424" s="42"/>
      <c r="D424" s="43">
        <v>10</v>
      </c>
      <c r="E424" s="43"/>
      <c r="F424" s="43" t="s">
        <v>118</v>
      </c>
      <c r="G424" s="43"/>
      <c r="H424" s="54">
        <v>4.0000000000000001E-3</v>
      </c>
      <c r="I424" s="54"/>
      <c r="J424" s="43"/>
      <c r="K424" s="43"/>
      <c r="L424" s="26"/>
      <c r="M424" s="26"/>
      <c r="N424" s="18"/>
      <c r="O424" s="15"/>
    </row>
    <row r="425" spans="1:15" s="1" customFormat="1" ht="67.150000000000006" customHeight="1" x14ac:dyDescent="0.2">
      <c r="A425" s="16" t="s">
        <v>12</v>
      </c>
      <c r="B425" s="45" t="s">
        <v>0</v>
      </c>
      <c r="C425" s="45"/>
      <c r="D425" s="45" t="s">
        <v>112</v>
      </c>
      <c r="E425" s="45"/>
      <c r="F425" s="44" t="s">
        <v>113</v>
      </c>
      <c r="G425" s="44"/>
      <c r="H425" s="44" t="s">
        <v>114</v>
      </c>
      <c r="I425" s="44"/>
      <c r="J425" s="44" t="s">
        <v>115</v>
      </c>
      <c r="K425" s="44"/>
      <c r="L425" s="26"/>
      <c r="M425" s="26"/>
      <c r="N425" s="18"/>
      <c r="O425" s="15"/>
    </row>
    <row r="426" spans="1:15" s="1" customFormat="1" ht="13.5" x14ac:dyDescent="0.2">
      <c r="A426" s="51">
        <v>4</v>
      </c>
      <c r="B426" s="42" t="s">
        <v>73</v>
      </c>
      <c r="C426" s="42"/>
      <c r="D426" s="43">
        <v>100</v>
      </c>
      <c r="E426" s="43"/>
      <c r="F426" s="43" t="s">
        <v>116</v>
      </c>
      <c r="G426" s="43"/>
      <c r="H426" s="54">
        <v>1E-3</v>
      </c>
      <c r="I426" s="54"/>
      <c r="J426" s="43">
        <v>0.1</v>
      </c>
      <c r="K426" s="43"/>
      <c r="L426" s="26"/>
      <c r="M426" s="26"/>
      <c r="N426" s="18"/>
      <c r="O426" s="15"/>
    </row>
    <row r="427" spans="1:15" s="1" customFormat="1" ht="13.5" x14ac:dyDescent="0.2">
      <c r="A427" s="52"/>
      <c r="B427" s="42">
        <v>500</v>
      </c>
      <c r="C427" s="42"/>
      <c r="D427" s="43">
        <v>500</v>
      </c>
      <c r="E427" s="43"/>
      <c r="F427" s="43" t="s">
        <v>117</v>
      </c>
      <c r="G427" s="43"/>
      <c r="H427" s="54">
        <v>4.0000000000000001E-3</v>
      </c>
      <c r="I427" s="54"/>
      <c r="J427" s="43"/>
      <c r="K427" s="43"/>
      <c r="L427" s="26"/>
      <c r="M427" s="26"/>
      <c r="N427" s="18"/>
      <c r="O427" s="15"/>
    </row>
    <row r="428" spans="1:15" s="1" customFormat="1" ht="13.5" x14ac:dyDescent="0.2">
      <c r="A428" s="52"/>
      <c r="B428" s="42">
        <v>200</v>
      </c>
      <c r="C428" s="42"/>
      <c r="D428" s="43">
        <v>200</v>
      </c>
      <c r="E428" s="43"/>
      <c r="F428" s="43" t="s">
        <v>117</v>
      </c>
      <c r="G428" s="43"/>
      <c r="H428" s="54">
        <v>8.0000000000000002E-3</v>
      </c>
      <c r="I428" s="54"/>
      <c r="J428" s="43"/>
      <c r="K428" s="43"/>
      <c r="L428" s="26"/>
      <c r="M428" s="26"/>
      <c r="N428" s="18"/>
      <c r="O428" s="15"/>
    </row>
    <row r="429" spans="1:15" s="1" customFormat="1" ht="13.5" x14ac:dyDescent="0.2">
      <c r="A429" s="52"/>
      <c r="B429" s="42">
        <v>100</v>
      </c>
      <c r="C429" s="42"/>
      <c r="D429" s="43">
        <v>100</v>
      </c>
      <c r="E429" s="43"/>
      <c r="F429" s="43" t="s">
        <v>117</v>
      </c>
      <c r="G429" s="43"/>
      <c r="H429" s="54">
        <v>4.0000000000000001E-3</v>
      </c>
      <c r="I429" s="54"/>
      <c r="J429" s="43"/>
      <c r="K429" s="43"/>
      <c r="L429" s="26"/>
      <c r="M429" s="26"/>
      <c r="N429" s="18"/>
      <c r="O429" s="15"/>
    </row>
    <row r="430" spans="1:15" s="1" customFormat="1" ht="13.5" x14ac:dyDescent="0.2">
      <c r="A430" s="52"/>
      <c r="B430" s="42">
        <v>50</v>
      </c>
      <c r="C430" s="42"/>
      <c r="D430" s="43">
        <v>50</v>
      </c>
      <c r="E430" s="43"/>
      <c r="F430" s="43" t="s">
        <v>117</v>
      </c>
      <c r="G430" s="43"/>
      <c r="H430" s="54">
        <v>6.0000000000000001E-3</v>
      </c>
      <c r="I430" s="54"/>
      <c r="J430" s="43"/>
      <c r="K430" s="43"/>
      <c r="L430" s="26"/>
      <c r="M430" s="26"/>
      <c r="N430" s="18"/>
      <c r="O430" s="15"/>
    </row>
    <row r="431" spans="1:15" s="1" customFormat="1" ht="13.5" x14ac:dyDescent="0.2">
      <c r="A431" s="52"/>
      <c r="B431" s="42">
        <v>20</v>
      </c>
      <c r="C431" s="42"/>
      <c r="D431" s="43">
        <v>20</v>
      </c>
      <c r="E431" s="43"/>
      <c r="F431" s="43" t="s">
        <v>117</v>
      </c>
      <c r="G431" s="43"/>
      <c r="H431" s="54">
        <v>7.0000000000000001E-3</v>
      </c>
      <c r="I431" s="54"/>
      <c r="J431" s="43"/>
      <c r="K431" s="43"/>
      <c r="L431" s="26"/>
      <c r="M431" s="26"/>
      <c r="N431" s="18"/>
      <c r="O431" s="15"/>
    </row>
    <row r="432" spans="1:15" s="1" customFormat="1" ht="13.5" x14ac:dyDescent="0.2">
      <c r="A432" s="52"/>
      <c r="B432" s="42">
        <v>10</v>
      </c>
      <c r="C432" s="42"/>
      <c r="D432" s="43">
        <v>10</v>
      </c>
      <c r="E432" s="43"/>
      <c r="F432" s="43" t="s">
        <v>117</v>
      </c>
      <c r="G432" s="43"/>
      <c r="H432" s="54">
        <v>4.0000000000000001E-3</v>
      </c>
      <c r="I432" s="54"/>
      <c r="J432" s="43"/>
      <c r="K432" s="43"/>
      <c r="L432" s="26"/>
      <c r="M432" s="26"/>
      <c r="N432" s="18"/>
      <c r="O432" s="15"/>
    </row>
    <row r="433" spans="1:16" s="1" customFormat="1" ht="13.5" x14ac:dyDescent="0.2">
      <c r="A433" s="52"/>
      <c r="B433" s="42">
        <v>5</v>
      </c>
      <c r="C433" s="42"/>
      <c r="D433" s="43">
        <v>50</v>
      </c>
      <c r="E433" s="43"/>
      <c r="F433" s="43" t="s">
        <v>118</v>
      </c>
      <c r="G433" s="43"/>
      <c r="H433" s="54">
        <v>4.0000000000000001E-3</v>
      </c>
      <c r="I433" s="54"/>
      <c r="J433" s="43"/>
      <c r="K433" s="43"/>
      <c r="L433" s="26"/>
      <c r="M433" s="26"/>
      <c r="N433" s="18"/>
      <c r="O433" s="15"/>
    </row>
    <row r="434" spans="1:16" s="1" customFormat="1" ht="13.5" x14ac:dyDescent="0.2">
      <c r="A434" s="52"/>
      <c r="B434" s="42">
        <v>2</v>
      </c>
      <c r="C434" s="42"/>
      <c r="D434" s="43">
        <v>20</v>
      </c>
      <c r="E434" s="43"/>
      <c r="F434" s="43" t="s">
        <v>118</v>
      </c>
      <c r="G434" s="43"/>
      <c r="H434" s="54">
        <v>8.0000000000000002E-3</v>
      </c>
      <c r="I434" s="54"/>
      <c r="J434" s="43"/>
      <c r="K434" s="43"/>
      <c r="L434" s="26"/>
      <c r="M434" s="26"/>
      <c r="N434" s="18"/>
      <c r="O434" s="15"/>
    </row>
    <row r="435" spans="1:16" s="1" customFormat="1" ht="13.5" x14ac:dyDescent="0.2">
      <c r="A435" s="53"/>
      <c r="B435" s="42">
        <v>1</v>
      </c>
      <c r="C435" s="42"/>
      <c r="D435" s="43">
        <v>10</v>
      </c>
      <c r="E435" s="43"/>
      <c r="F435" s="43" t="s">
        <v>118</v>
      </c>
      <c r="G435" s="43"/>
      <c r="H435" s="54">
        <v>5.0000000000000001E-3</v>
      </c>
      <c r="I435" s="54"/>
      <c r="J435" s="43"/>
      <c r="K435" s="43"/>
      <c r="L435" s="26"/>
      <c r="M435" s="26"/>
      <c r="N435" s="18"/>
      <c r="O435" s="15"/>
    </row>
    <row r="436" spans="1:16" s="1" customFormat="1" ht="6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</row>
    <row r="437" spans="1:16" s="1" customFormat="1" ht="13.5" x14ac:dyDescent="0.25">
      <c r="A437" s="15" t="s">
        <v>120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</row>
    <row r="438" spans="1:16" s="1" customFormat="1" ht="6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</row>
    <row r="439" spans="1:16" s="1" customForma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</row>
    <row r="440" spans="1:16" s="35" customFormat="1" ht="12.75" customHeight="1" x14ac:dyDescent="0.2">
      <c r="A440" s="33" t="s">
        <v>402</v>
      </c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</row>
    <row r="441" spans="1:16" s="35" customFormat="1" ht="12.75" customHeight="1" x14ac:dyDescent="0.2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</row>
    <row r="442" spans="1:16" s="35" customFormat="1" ht="12.75" customHeight="1" x14ac:dyDescent="0.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</row>
    <row r="443" spans="1:16" s="35" customFormat="1" ht="12.75" customHeight="1" x14ac:dyDescent="0.25">
      <c r="A443" s="33"/>
      <c r="B443" s="77" t="s">
        <v>394</v>
      </c>
      <c r="C443" s="77"/>
      <c r="D443" s="36" t="s">
        <v>395</v>
      </c>
      <c r="E443" s="78" t="s">
        <v>396</v>
      </c>
      <c r="F443" s="78"/>
      <c r="G443" s="37" t="s">
        <v>397</v>
      </c>
      <c r="H443" s="34"/>
      <c r="I443" s="34"/>
      <c r="J443" s="34"/>
      <c r="K443" s="34"/>
      <c r="L443" s="34"/>
      <c r="M443" s="34"/>
      <c r="N443" s="34"/>
      <c r="O443" s="34"/>
      <c r="P443" s="34"/>
    </row>
    <row r="444" spans="1:16" s="35" customFormat="1" ht="12.75" customHeight="1" x14ac:dyDescent="0.2">
      <c r="A444" s="33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</row>
    <row r="445" spans="1:16" s="35" customFormat="1" ht="12.75" customHeight="1" x14ac:dyDescent="0.2">
      <c r="A445" s="33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</row>
    <row r="446" spans="1:16" s="35" customFormat="1" ht="12.75" customHeight="1" x14ac:dyDescent="0.2">
      <c r="A446" s="79" t="s">
        <v>398</v>
      </c>
      <c r="B446" s="79"/>
      <c r="C446" s="79"/>
      <c r="D446" s="38" t="s">
        <v>395</v>
      </c>
      <c r="E446" s="80" t="s">
        <v>399</v>
      </c>
      <c r="F446" s="80"/>
      <c r="G446" s="33" t="s">
        <v>397</v>
      </c>
      <c r="H446" s="34"/>
      <c r="I446" s="34"/>
      <c r="J446" s="34"/>
      <c r="K446" s="34"/>
      <c r="L446" s="34"/>
      <c r="M446" s="34"/>
      <c r="N446" s="34"/>
      <c r="O446" s="34"/>
      <c r="P446" s="34"/>
    </row>
    <row r="447" spans="1:16" s="35" customFormat="1" ht="12.75" customHeight="1" x14ac:dyDescent="0.2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</row>
    <row r="448" spans="1:16" s="35" customFormat="1" ht="12.75" customHeight="1" x14ac:dyDescent="0.25">
      <c r="A448" s="79" t="s">
        <v>400</v>
      </c>
      <c r="B448" s="79"/>
      <c r="C448" s="79"/>
      <c r="D448" s="78" t="s">
        <v>401</v>
      </c>
      <c r="E448" s="78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</row>
    <row r="449" s="1" customFormat="1" x14ac:dyDescent="0.2"/>
    <row r="450" s="1" customFormat="1" x14ac:dyDescent="0.2"/>
    <row r="451" s="1" customFormat="1" x14ac:dyDescent="0.2"/>
    <row r="452" s="1" customFormat="1" x14ac:dyDescent="0.2"/>
    <row r="453" s="1" customFormat="1" x14ac:dyDescent="0.2"/>
    <row r="454" s="1" customFormat="1" x14ac:dyDescent="0.2"/>
    <row r="455" s="1" customFormat="1" x14ac:dyDescent="0.2"/>
    <row r="456" s="1" customFormat="1" x14ac:dyDescent="0.2"/>
    <row r="457" s="1" customFormat="1" x14ac:dyDescent="0.2"/>
    <row r="458" s="1" customFormat="1" x14ac:dyDescent="0.2"/>
    <row r="459" s="1" customFormat="1" x14ac:dyDescent="0.2"/>
  </sheetData>
  <mergeCells count="1902">
    <mergeCell ref="B443:C443"/>
    <mergeCell ref="E443:F443"/>
    <mergeCell ref="A446:C446"/>
    <mergeCell ref="E446:F446"/>
    <mergeCell ref="A448:C448"/>
    <mergeCell ref="D448:E448"/>
    <mergeCell ref="B432:C432"/>
    <mergeCell ref="D432:E432"/>
    <mergeCell ref="F432:G432"/>
    <mergeCell ref="F215:G215"/>
    <mergeCell ref="F216:G216"/>
    <mergeCell ref="F430:G430"/>
    <mergeCell ref="B425:C425"/>
    <mergeCell ref="F229:G229"/>
    <mergeCell ref="F233:G233"/>
    <mergeCell ref="F234:G234"/>
    <mergeCell ref="F236:G236"/>
    <mergeCell ref="F237:G237"/>
    <mergeCell ref="F238:G238"/>
    <mergeCell ref="F235:G235"/>
    <mergeCell ref="F239:G239"/>
    <mergeCell ref="F231:G231"/>
    <mergeCell ref="F232:G232"/>
    <mergeCell ref="B431:C431"/>
    <mergeCell ref="D431:E431"/>
    <mergeCell ref="F431:G431"/>
    <mergeCell ref="F293:G293"/>
    <mergeCell ref="F359:G359"/>
    <mergeCell ref="F360:G360"/>
    <mergeCell ref="D422:E422"/>
    <mergeCell ref="F422:G422"/>
    <mergeCell ref="B419:C419"/>
    <mergeCell ref="B434:C434"/>
    <mergeCell ref="D434:E434"/>
    <mergeCell ref="F434:G434"/>
    <mergeCell ref="F300:G300"/>
    <mergeCell ref="F301:G301"/>
    <mergeCell ref="F302:G302"/>
    <mergeCell ref="F304:G304"/>
    <mergeCell ref="F305:G305"/>
    <mergeCell ref="F295:G295"/>
    <mergeCell ref="F296:G296"/>
    <mergeCell ref="F298:G298"/>
    <mergeCell ref="F299:G299"/>
    <mergeCell ref="F297:G297"/>
    <mergeCell ref="F288:G288"/>
    <mergeCell ref="F289:G289"/>
    <mergeCell ref="F290:G290"/>
    <mergeCell ref="F292:G292"/>
    <mergeCell ref="D372:E372"/>
    <mergeCell ref="C386:D387"/>
    <mergeCell ref="D111:E111"/>
    <mergeCell ref="B92:C92"/>
    <mergeCell ref="D92:E92"/>
    <mergeCell ref="F194:G194"/>
    <mergeCell ref="F192:G192"/>
    <mergeCell ref="F193:G193"/>
    <mergeCell ref="F201:G201"/>
    <mergeCell ref="F202:G202"/>
    <mergeCell ref="F203:G203"/>
    <mergeCell ref="F199:G199"/>
    <mergeCell ref="F200:G200"/>
    <mergeCell ref="F198:G198"/>
    <mergeCell ref="F195:G195"/>
    <mergeCell ref="F196:G196"/>
    <mergeCell ref="F197:G197"/>
    <mergeCell ref="B433:C433"/>
    <mergeCell ref="D433:E433"/>
    <mergeCell ref="F433:G433"/>
    <mergeCell ref="B118:C118"/>
    <mergeCell ref="D118:E118"/>
    <mergeCell ref="F118:G118"/>
    <mergeCell ref="B120:C120"/>
    <mergeCell ref="F189:G189"/>
    <mergeCell ref="F190:G190"/>
    <mergeCell ref="F191:G191"/>
    <mergeCell ref="F187:G187"/>
    <mergeCell ref="F188:G188"/>
    <mergeCell ref="F186:G186"/>
    <mergeCell ref="F125:G125"/>
    <mergeCell ref="F126:G126"/>
    <mergeCell ref="F130:G130"/>
    <mergeCell ref="F132:G132"/>
    <mergeCell ref="B420:C420"/>
    <mergeCell ref="D420:E420"/>
    <mergeCell ref="F420:G420"/>
    <mergeCell ref="D201:E201"/>
    <mergeCell ref="D207:E207"/>
    <mergeCell ref="D219:E219"/>
    <mergeCell ref="D86:E86"/>
    <mergeCell ref="F86:G86"/>
    <mergeCell ref="D87:E87"/>
    <mergeCell ref="F87:G87"/>
    <mergeCell ref="B122:C122"/>
    <mergeCell ref="D122:E122"/>
    <mergeCell ref="F119:G119"/>
    <mergeCell ref="B114:C114"/>
    <mergeCell ref="D114:E114"/>
    <mergeCell ref="F114:G114"/>
    <mergeCell ref="B121:C121"/>
    <mergeCell ref="D121:E121"/>
    <mergeCell ref="F121:G121"/>
    <mergeCell ref="F122:G122"/>
    <mergeCell ref="D119:E119"/>
    <mergeCell ref="D104:E104"/>
    <mergeCell ref="F104:G104"/>
    <mergeCell ref="B94:C94"/>
    <mergeCell ref="D94:E94"/>
    <mergeCell ref="F94:G94"/>
    <mergeCell ref="B95:C95"/>
    <mergeCell ref="D95:E95"/>
    <mergeCell ref="B119:C119"/>
    <mergeCell ref="F111:G111"/>
    <mergeCell ref="B117:C117"/>
    <mergeCell ref="D117:E117"/>
    <mergeCell ref="D430:E430"/>
    <mergeCell ref="F225:G225"/>
    <mergeCell ref="F226:G226"/>
    <mergeCell ref="F223:G223"/>
    <mergeCell ref="F227:G227"/>
    <mergeCell ref="F228:G228"/>
    <mergeCell ref="F230:G230"/>
    <mergeCell ref="F217:G217"/>
    <mergeCell ref="F218:G218"/>
    <mergeCell ref="F220:G220"/>
    <mergeCell ref="F221:G221"/>
    <mergeCell ref="F222:G222"/>
    <mergeCell ref="F224:G224"/>
    <mergeCell ref="F368:G368"/>
    <mergeCell ref="F369:G369"/>
    <mergeCell ref="F370:G370"/>
    <mergeCell ref="F371:G371"/>
    <mergeCell ref="F259:G259"/>
    <mergeCell ref="F261:G261"/>
    <mergeCell ref="F252:G252"/>
    <mergeCell ref="F255:G255"/>
    <mergeCell ref="F419:G419"/>
    <mergeCell ref="B99:C99"/>
    <mergeCell ref="D99:E99"/>
    <mergeCell ref="F99:G99"/>
    <mergeCell ref="B100:C100"/>
    <mergeCell ref="D100:E100"/>
    <mergeCell ref="F100:G100"/>
    <mergeCell ref="F367:G367"/>
    <mergeCell ref="F363:G363"/>
    <mergeCell ref="F364:G364"/>
    <mergeCell ref="F365:G365"/>
    <mergeCell ref="F366:G366"/>
    <mergeCell ref="F361:G361"/>
    <mergeCell ref="F356:G356"/>
    <mergeCell ref="F357:G357"/>
    <mergeCell ref="F358:G358"/>
    <mergeCell ref="F362:G362"/>
    <mergeCell ref="B105:C105"/>
    <mergeCell ref="D105:E105"/>
    <mergeCell ref="F105:G105"/>
    <mergeCell ref="B106:C106"/>
    <mergeCell ref="D106:E106"/>
    <mergeCell ref="F106:G106"/>
    <mergeCell ref="B107:C107"/>
    <mergeCell ref="D107:E107"/>
    <mergeCell ref="F107:G107"/>
    <mergeCell ref="B111:C111"/>
    <mergeCell ref="D125:E125"/>
    <mergeCell ref="F160:G160"/>
    <mergeCell ref="B169:C169"/>
    <mergeCell ref="D169:E169"/>
    <mergeCell ref="B178:C178"/>
    <mergeCell ref="F117:G117"/>
    <mergeCell ref="D150:E150"/>
    <mergeCell ref="B154:C154"/>
    <mergeCell ref="D154:E154"/>
    <mergeCell ref="B160:C160"/>
    <mergeCell ref="B126:C126"/>
    <mergeCell ref="D126:E126"/>
    <mergeCell ref="H132:I132"/>
    <mergeCell ref="F169:G169"/>
    <mergeCell ref="F246:G246"/>
    <mergeCell ref="F248:G248"/>
    <mergeCell ref="F249:G249"/>
    <mergeCell ref="F250:G250"/>
    <mergeCell ref="F247:G247"/>
    <mergeCell ref="F251:G251"/>
    <mergeCell ref="F240:G240"/>
    <mergeCell ref="F242:G242"/>
    <mergeCell ref="F243:G243"/>
    <mergeCell ref="D160:E160"/>
    <mergeCell ref="F211:G211"/>
    <mergeCell ref="F210:G210"/>
    <mergeCell ref="B166:C166"/>
    <mergeCell ref="B172:C172"/>
    <mergeCell ref="D172:E172"/>
    <mergeCell ref="F172:G172"/>
    <mergeCell ref="H172:I172"/>
    <mergeCell ref="D178:E178"/>
    <mergeCell ref="F178:G178"/>
    <mergeCell ref="H178:I178"/>
    <mergeCell ref="B185:C185"/>
    <mergeCell ref="D185:E185"/>
    <mergeCell ref="F185:G185"/>
    <mergeCell ref="H185:I185"/>
    <mergeCell ref="L128:M128"/>
    <mergeCell ref="L129:M129"/>
    <mergeCell ref="H126:I126"/>
    <mergeCell ref="B101:C101"/>
    <mergeCell ref="D101:E101"/>
    <mergeCell ref="F101:G101"/>
    <mergeCell ref="B137:C137"/>
    <mergeCell ref="D137:E137"/>
    <mergeCell ref="F137:G137"/>
    <mergeCell ref="D140:E140"/>
    <mergeCell ref="F140:G140"/>
    <mergeCell ref="F92:G92"/>
    <mergeCell ref="H405:I405"/>
    <mergeCell ref="H406:I406"/>
    <mergeCell ref="H400:I400"/>
    <mergeCell ref="H415:I415"/>
    <mergeCell ref="H416:I416"/>
    <mergeCell ref="H413:I413"/>
    <mergeCell ref="H414:I414"/>
    <mergeCell ref="H411:I411"/>
    <mergeCell ref="H412:I412"/>
    <mergeCell ref="I388:J388"/>
    <mergeCell ref="H94:I94"/>
    <mergeCell ref="J94:K94"/>
    <mergeCell ref="B127:C127"/>
    <mergeCell ref="D127:E127"/>
    <mergeCell ref="F127:G127"/>
    <mergeCell ref="B128:C128"/>
    <mergeCell ref="D128:E128"/>
    <mergeCell ref="F128:G128"/>
    <mergeCell ref="H128:I128"/>
    <mergeCell ref="J128:K128"/>
    <mergeCell ref="H417:I417"/>
    <mergeCell ref="H418:I418"/>
    <mergeCell ref="F95:G95"/>
    <mergeCell ref="F379:G379"/>
    <mergeCell ref="F380:G380"/>
    <mergeCell ref="F381:G381"/>
    <mergeCell ref="F382:G382"/>
    <mergeCell ref="E388:F388"/>
    <mergeCell ref="G388:H388"/>
    <mergeCell ref="H100:I100"/>
    <mergeCell ref="H104:I104"/>
    <mergeCell ref="H111:I111"/>
    <mergeCell ref="H95:I95"/>
    <mergeCell ref="J95:K95"/>
    <mergeCell ref="H99:I99"/>
    <mergeCell ref="J99:K99"/>
    <mergeCell ref="J98:K98"/>
    <mergeCell ref="F372:G372"/>
    <mergeCell ref="F373:G373"/>
    <mergeCell ref="D120:E120"/>
    <mergeCell ref="F120:G120"/>
    <mergeCell ref="J132:K132"/>
    <mergeCell ref="H137:I137"/>
    <mergeCell ref="J137:K137"/>
    <mergeCell ref="H140:I140"/>
    <mergeCell ref="J140:K140"/>
    <mergeCell ref="H160:I160"/>
    <mergeCell ref="J160:K160"/>
    <mergeCell ref="D166:E166"/>
    <mergeCell ref="F166:G166"/>
    <mergeCell ref="H166:I166"/>
    <mergeCell ref="J166:K166"/>
    <mergeCell ref="A18:N18"/>
    <mergeCell ref="A29:N29"/>
    <mergeCell ref="B31:C33"/>
    <mergeCell ref="B34:C34"/>
    <mergeCell ref="B35:C35"/>
    <mergeCell ref="H427:I427"/>
    <mergeCell ref="H426:I426"/>
    <mergeCell ref="D41:E41"/>
    <mergeCell ref="D42:E42"/>
    <mergeCell ref="D43:E43"/>
    <mergeCell ref="B96:C96"/>
    <mergeCell ref="D45:E45"/>
    <mergeCell ref="F43:G43"/>
    <mergeCell ref="F44:G44"/>
    <mergeCell ref="H432:I432"/>
    <mergeCell ref="H433:I433"/>
    <mergeCell ref="H434:I434"/>
    <mergeCell ref="H431:I431"/>
    <mergeCell ref="H430:I430"/>
    <mergeCell ref="H428:I428"/>
    <mergeCell ref="H429:I429"/>
    <mergeCell ref="D44:E44"/>
    <mergeCell ref="A31:A33"/>
    <mergeCell ref="F90:G90"/>
    <mergeCell ref="D89:E89"/>
    <mergeCell ref="F89:G89"/>
    <mergeCell ref="D34:E34"/>
    <mergeCell ref="D35:E35"/>
    <mergeCell ref="D31:E33"/>
    <mergeCell ref="D36:E36"/>
    <mergeCell ref="D37:E37"/>
    <mergeCell ref="H401:I401"/>
    <mergeCell ref="N71:N73"/>
    <mergeCell ref="N74:N76"/>
    <mergeCell ref="A74:A107"/>
    <mergeCell ref="N77:N107"/>
    <mergeCell ref="B44:C44"/>
    <mergeCell ref="B45:C45"/>
    <mergeCell ref="F60:G60"/>
    <mergeCell ref="F61:G61"/>
    <mergeCell ref="A71:A73"/>
    <mergeCell ref="F34:G34"/>
    <mergeCell ref="F35:G35"/>
    <mergeCell ref="F36:G36"/>
    <mergeCell ref="F37:G37"/>
    <mergeCell ref="F41:G41"/>
    <mergeCell ref="F42:G42"/>
    <mergeCell ref="F45:G45"/>
    <mergeCell ref="H435:I435"/>
    <mergeCell ref="H402:I402"/>
    <mergeCell ref="H403:I403"/>
    <mergeCell ref="H404:I404"/>
    <mergeCell ref="H395:I395"/>
    <mergeCell ref="H396:I396"/>
    <mergeCell ref="H397:I397"/>
    <mergeCell ref="H398:I398"/>
    <mergeCell ref="H399:I399"/>
    <mergeCell ref="D85:E85"/>
    <mergeCell ref="F85:G85"/>
    <mergeCell ref="D93:E93"/>
    <mergeCell ref="F93:G93"/>
    <mergeCell ref="B90:C90"/>
    <mergeCell ref="D90:E90"/>
    <mergeCell ref="B93:C93"/>
    <mergeCell ref="B76:C76"/>
    <mergeCell ref="B77:C77"/>
    <mergeCell ref="B78:C78"/>
    <mergeCell ref="B42:C42"/>
    <mergeCell ref="B48:C48"/>
    <mergeCell ref="B49:C49"/>
    <mergeCell ref="B50:C50"/>
    <mergeCell ref="B51:C51"/>
    <mergeCell ref="B60:C60"/>
    <mergeCell ref="D77:E77"/>
    <mergeCell ref="F31:G33"/>
    <mergeCell ref="F58:G58"/>
    <mergeCell ref="D58:E58"/>
    <mergeCell ref="B58:C58"/>
    <mergeCell ref="B57:C57"/>
    <mergeCell ref="B71:C73"/>
    <mergeCell ref="D71:E73"/>
    <mergeCell ref="F71:G73"/>
    <mergeCell ref="B74:C74"/>
    <mergeCell ref="D54:E54"/>
    <mergeCell ref="B54:C54"/>
    <mergeCell ref="B62:C62"/>
    <mergeCell ref="B63:C63"/>
    <mergeCell ref="B64:C64"/>
    <mergeCell ref="B61:C61"/>
    <mergeCell ref="B55:C55"/>
    <mergeCell ref="B59:C59"/>
    <mergeCell ref="F54:G54"/>
    <mergeCell ref="F49:G49"/>
    <mergeCell ref="D67:E67"/>
    <mergeCell ref="B66:C66"/>
    <mergeCell ref="B67:C67"/>
    <mergeCell ref="F79:G79"/>
    <mergeCell ref="F80:G80"/>
    <mergeCell ref="F81:G81"/>
    <mergeCell ref="F82:G82"/>
    <mergeCell ref="F83:G83"/>
    <mergeCell ref="D81:E81"/>
    <mergeCell ref="D83:E83"/>
    <mergeCell ref="A11:D11"/>
    <mergeCell ref="E11:F11"/>
    <mergeCell ref="B41:C41"/>
    <mergeCell ref="F77:G77"/>
    <mergeCell ref="D78:E78"/>
    <mergeCell ref="F78:G78"/>
    <mergeCell ref="D56:E56"/>
    <mergeCell ref="B56:C56"/>
    <mergeCell ref="G11:H11"/>
    <mergeCell ref="G12:H12"/>
    <mergeCell ref="A12:D12"/>
    <mergeCell ref="E12:F12"/>
    <mergeCell ref="A13:D13"/>
    <mergeCell ref="E13:F13"/>
    <mergeCell ref="A14:D14"/>
    <mergeCell ref="E14:F14"/>
    <mergeCell ref="B75:C75"/>
    <mergeCell ref="F74:G74"/>
    <mergeCell ref="D75:E75"/>
    <mergeCell ref="F75:G75"/>
    <mergeCell ref="D76:E76"/>
    <mergeCell ref="F76:G76"/>
    <mergeCell ref="D74:E74"/>
    <mergeCell ref="H52:I52"/>
    <mergeCell ref="H53:I53"/>
    <mergeCell ref="J37:K37"/>
    <mergeCell ref="H41:I41"/>
    <mergeCell ref="J41:K41"/>
    <mergeCell ref="H42:I42"/>
    <mergeCell ref="J42:K42"/>
    <mergeCell ref="H43:I43"/>
    <mergeCell ref="J43:K43"/>
    <mergeCell ref="J31:K33"/>
    <mergeCell ref="H34:I34"/>
    <mergeCell ref="J34:K34"/>
    <mergeCell ref="H35:I35"/>
    <mergeCell ref="J35:K35"/>
    <mergeCell ref="H36:I36"/>
    <mergeCell ref="J36:K36"/>
    <mergeCell ref="H31:I33"/>
    <mergeCell ref="H37:I37"/>
    <mergeCell ref="H44:I44"/>
    <mergeCell ref="J74:K74"/>
    <mergeCell ref="H75:I75"/>
    <mergeCell ref="J75:K75"/>
    <mergeCell ref="H76:I76"/>
    <mergeCell ref="J76:K76"/>
    <mergeCell ref="H77:I77"/>
    <mergeCell ref="J77:K77"/>
    <mergeCell ref="H71:I73"/>
    <mergeCell ref="J71:K73"/>
    <mergeCell ref="J426:K435"/>
    <mergeCell ref="B427:C427"/>
    <mergeCell ref="D427:E427"/>
    <mergeCell ref="F427:G427"/>
    <mergeCell ref="B428:C428"/>
    <mergeCell ref="D428:E428"/>
    <mergeCell ref="F428:G428"/>
    <mergeCell ref="H74:I74"/>
    <mergeCell ref="B82:C82"/>
    <mergeCell ref="B429:C429"/>
    <mergeCell ref="D429:E429"/>
    <mergeCell ref="F429:G429"/>
    <mergeCell ref="B430:C430"/>
    <mergeCell ref="B87:C87"/>
    <mergeCell ref="F84:G84"/>
    <mergeCell ref="B84:C84"/>
    <mergeCell ref="B89:C89"/>
    <mergeCell ref="B86:C86"/>
    <mergeCell ref="B91:C91"/>
    <mergeCell ref="H409:I409"/>
    <mergeCell ref="H410:I410"/>
    <mergeCell ref="H407:I407"/>
    <mergeCell ref="H408:I408"/>
    <mergeCell ref="H85:I85"/>
    <mergeCell ref="J85:K85"/>
    <mergeCell ref="H86:I86"/>
    <mergeCell ref="J86:K86"/>
    <mergeCell ref="H87:I87"/>
    <mergeCell ref="J87:K87"/>
    <mergeCell ref="H84:I84"/>
    <mergeCell ref="J84:K84"/>
    <mergeCell ref="H80:I80"/>
    <mergeCell ref="J80:K80"/>
    <mergeCell ref="H81:I81"/>
    <mergeCell ref="J81:K81"/>
    <mergeCell ref="H82:I82"/>
    <mergeCell ref="J82:K82"/>
    <mergeCell ref="H78:I78"/>
    <mergeCell ref="J78:K78"/>
    <mergeCell ref="H79:I79"/>
    <mergeCell ref="J79:K79"/>
    <mergeCell ref="H83:I83"/>
    <mergeCell ref="J83:K83"/>
    <mergeCell ref="H88:I88"/>
    <mergeCell ref="J88:K88"/>
    <mergeCell ref="H89:I89"/>
    <mergeCell ref="J89:K89"/>
    <mergeCell ref="H90:I90"/>
    <mergeCell ref="J90:K90"/>
    <mergeCell ref="A426:A435"/>
    <mergeCell ref="B426:C426"/>
    <mergeCell ref="D426:E426"/>
    <mergeCell ref="F426:G426"/>
    <mergeCell ref="J124:K124"/>
    <mergeCell ref="D425:E425"/>
    <mergeCell ref="F425:G425"/>
    <mergeCell ref="H425:I425"/>
    <mergeCell ref="J425:K425"/>
    <mergeCell ref="B424:C424"/>
    <mergeCell ref="D424:E424"/>
    <mergeCell ref="F424:G424"/>
    <mergeCell ref="D91:E91"/>
    <mergeCell ref="F91:G91"/>
    <mergeCell ref="B129:C129"/>
    <mergeCell ref="D129:E129"/>
    <mergeCell ref="F129:G129"/>
    <mergeCell ref="H129:I129"/>
    <mergeCell ref="J129:K129"/>
    <mergeCell ref="J126:K126"/>
    <mergeCell ref="K388:L388"/>
    <mergeCell ref="H424:I424"/>
    <mergeCell ref="H423:I423"/>
    <mergeCell ref="H421:I421"/>
    <mergeCell ref="H422:I422"/>
    <mergeCell ref="H419:I419"/>
    <mergeCell ref="L89:M89"/>
    <mergeCell ref="L77:M77"/>
    <mergeCell ref="L78:M78"/>
    <mergeCell ref="L79:M79"/>
    <mergeCell ref="L80:M80"/>
    <mergeCell ref="L81:M81"/>
    <mergeCell ref="L82:M82"/>
    <mergeCell ref="L36:M36"/>
    <mergeCell ref="N34:N36"/>
    <mergeCell ref="H127:I127"/>
    <mergeCell ref="J127:K127"/>
    <mergeCell ref="L42:M42"/>
    <mergeCell ref="L43:M43"/>
    <mergeCell ref="H124:I124"/>
    <mergeCell ref="H121:I121"/>
    <mergeCell ref="J121:K121"/>
    <mergeCell ref="L76:M76"/>
    <mergeCell ref="H120:I120"/>
    <mergeCell ref="J120:K120"/>
    <mergeCell ref="H122:I122"/>
    <mergeCell ref="J122:K122"/>
    <mergeCell ref="J123:K123"/>
    <mergeCell ref="H125:I125"/>
    <mergeCell ref="J125:K125"/>
    <mergeCell ref="H123:I123"/>
    <mergeCell ref="L83:M83"/>
    <mergeCell ref="L87:M87"/>
    <mergeCell ref="L120:M120"/>
    <mergeCell ref="L121:M121"/>
    <mergeCell ref="L122:M122"/>
    <mergeCell ref="H91:I91"/>
    <mergeCell ref="J91:K91"/>
    <mergeCell ref="L75:M75"/>
    <mergeCell ref="L56:M56"/>
    <mergeCell ref="J56:K56"/>
    <mergeCell ref="J49:K49"/>
    <mergeCell ref="L50:M50"/>
    <mergeCell ref="J52:K52"/>
    <mergeCell ref="L58:M58"/>
    <mergeCell ref="J58:K58"/>
    <mergeCell ref="L71:M73"/>
    <mergeCell ref="J115:K115"/>
    <mergeCell ref="J116:K116"/>
    <mergeCell ref="J117:K117"/>
    <mergeCell ref="J118:K118"/>
    <mergeCell ref="J119:K119"/>
    <mergeCell ref="J111:K111"/>
    <mergeCell ref="J112:K112"/>
    <mergeCell ref="J113:K113"/>
    <mergeCell ref="J114:K114"/>
    <mergeCell ref="J104:K104"/>
    <mergeCell ref="J105:K105"/>
    <mergeCell ref="L105:M105"/>
    <mergeCell ref="L106:M106"/>
    <mergeCell ref="L107:M107"/>
    <mergeCell ref="L111:M111"/>
    <mergeCell ref="L114:M114"/>
    <mergeCell ref="L115:M115"/>
    <mergeCell ref="L117:M117"/>
    <mergeCell ref="L118:M118"/>
    <mergeCell ref="L119:M119"/>
    <mergeCell ref="L90:M90"/>
    <mergeCell ref="L74:M74"/>
    <mergeCell ref="L88:M88"/>
    <mergeCell ref="L91:M91"/>
    <mergeCell ref="L92:M92"/>
    <mergeCell ref="L93:M93"/>
    <mergeCell ref="L94:M94"/>
    <mergeCell ref="H118:I118"/>
    <mergeCell ref="H115:I115"/>
    <mergeCell ref="H116:I116"/>
    <mergeCell ref="H117:I117"/>
    <mergeCell ref="H119:I119"/>
    <mergeCell ref="H112:I112"/>
    <mergeCell ref="H113:I113"/>
    <mergeCell ref="H114:I114"/>
    <mergeCell ref="H105:I105"/>
    <mergeCell ref="H106:I106"/>
    <mergeCell ref="J106:K106"/>
    <mergeCell ref="H107:I107"/>
    <mergeCell ref="J107:K107"/>
    <mergeCell ref="J100:K100"/>
    <mergeCell ref="H92:I92"/>
    <mergeCell ref="J92:K92"/>
    <mergeCell ref="H93:I93"/>
    <mergeCell ref="J93:K93"/>
    <mergeCell ref="L100:M100"/>
    <mergeCell ref="L101:M101"/>
    <mergeCell ref="L102:M102"/>
    <mergeCell ref="L103:M103"/>
    <mergeCell ref="L104:M104"/>
    <mergeCell ref="G13:H13"/>
    <mergeCell ref="G14:H14"/>
    <mergeCell ref="G15:H15"/>
    <mergeCell ref="G16:H16"/>
    <mergeCell ref="E15:F15"/>
    <mergeCell ref="E16:F16"/>
    <mergeCell ref="C27:D27"/>
    <mergeCell ref="L124:M124"/>
    <mergeCell ref="B423:C423"/>
    <mergeCell ref="D423:E423"/>
    <mergeCell ref="F423:G423"/>
    <mergeCell ref="B98:C98"/>
    <mergeCell ref="D98:E98"/>
    <mergeCell ref="F98:G98"/>
    <mergeCell ref="H98:I98"/>
    <mergeCell ref="L98:M98"/>
    <mergeCell ref="B125:C125"/>
    <mergeCell ref="L112:M112"/>
    <mergeCell ref="L127:M127"/>
    <mergeCell ref="L113:M113"/>
    <mergeCell ref="L125:M125"/>
    <mergeCell ref="L84:M84"/>
    <mergeCell ref="L85:M85"/>
    <mergeCell ref="L86:M86"/>
    <mergeCell ref="L116:M116"/>
    <mergeCell ref="L108:M110"/>
    <mergeCell ref="L97:M97"/>
    <mergeCell ref="L95:M95"/>
    <mergeCell ref="L99:M99"/>
    <mergeCell ref="A15:D15"/>
    <mergeCell ref="A16:D16"/>
    <mergeCell ref="J46:K46"/>
    <mergeCell ref="N31:N33"/>
    <mergeCell ref="A34:A37"/>
    <mergeCell ref="B36:C36"/>
    <mergeCell ref="A26:B26"/>
    <mergeCell ref="A27:B27"/>
    <mergeCell ref="C26:D26"/>
    <mergeCell ref="L37:M37"/>
    <mergeCell ref="B47:C47"/>
    <mergeCell ref="A41:A70"/>
    <mergeCell ref="B52:C52"/>
    <mergeCell ref="B53:C53"/>
    <mergeCell ref="H58:I58"/>
    <mergeCell ref="L31:M33"/>
    <mergeCell ref="L34:M34"/>
    <mergeCell ref="L35:M35"/>
    <mergeCell ref="H57:I57"/>
    <mergeCell ref="F57:G57"/>
    <mergeCell ref="F50:G50"/>
    <mergeCell ref="L55:M55"/>
    <mergeCell ref="J55:K55"/>
    <mergeCell ref="H55:I55"/>
    <mergeCell ref="F55:G55"/>
    <mergeCell ref="D55:E55"/>
    <mergeCell ref="F51:G51"/>
    <mergeCell ref="J50:K50"/>
    <mergeCell ref="J51:K51"/>
    <mergeCell ref="F52:G52"/>
    <mergeCell ref="J44:K44"/>
    <mergeCell ref="H45:I45"/>
    <mergeCell ref="J45:K45"/>
    <mergeCell ref="N38:N40"/>
    <mergeCell ref="N41:N70"/>
    <mergeCell ref="B68:C68"/>
    <mergeCell ref="B69:C69"/>
    <mergeCell ref="B70:C70"/>
    <mergeCell ref="D68:E68"/>
    <mergeCell ref="D69:E69"/>
    <mergeCell ref="D70:E70"/>
    <mergeCell ref="L69:M69"/>
    <mergeCell ref="L70:M70"/>
    <mergeCell ref="J47:K47"/>
    <mergeCell ref="J48:K48"/>
    <mergeCell ref="L51:M51"/>
    <mergeCell ref="L52:M52"/>
    <mergeCell ref="F53:G53"/>
    <mergeCell ref="H46:I46"/>
    <mergeCell ref="H47:I47"/>
    <mergeCell ref="H48:I48"/>
    <mergeCell ref="H49:I49"/>
    <mergeCell ref="H50:I50"/>
    <mergeCell ref="H51:I51"/>
    <mergeCell ref="F46:G46"/>
    <mergeCell ref="F47:G47"/>
    <mergeCell ref="D46:E46"/>
    <mergeCell ref="D47:E47"/>
    <mergeCell ref="D48:E48"/>
    <mergeCell ref="D49:E49"/>
    <mergeCell ref="D50:E50"/>
    <mergeCell ref="D51:E51"/>
    <mergeCell ref="L57:M57"/>
    <mergeCell ref="J57:K57"/>
    <mergeCell ref="D60:E60"/>
    <mergeCell ref="D61:E61"/>
    <mergeCell ref="D62:E62"/>
    <mergeCell ref="D63:E63"/>
    <mergeCell ref="D64:E64"/>
    <mergeCell ref="F64:G64"/>
    <mergeCell ref="J53:K53"/>
    <mergeCell ref="J38:K40"/>
    <mergeCell ref="L38:M40"/>
    <mergeCell ref="L49:M49"/>
    <mergeCell ref="D57:E57"/>
    <mergeCell ref="B46:C46"/>
    <mergeCell ref="D52:E52"/>
    <mergeCell ref="D53:E53"/>
    <mergeCell ref="L53:M53"/>
    <mergeCell ref="F48:G48"/>
    <mergeCell ref="L54:M54"/>
    <mergeCell ref="J54:K54"/>
    <mergeCell ref="H54:I54"/>
    <mergeCell ref="L44:M44"/>
    <mergeCell ref="L45:M45"/>
    <mergeCell ref="L59:M59"/>
    <mergeCell ref="J59:K59"/>
    <mergeCell ref="H59:I59"/>
    <mergeCell ref="F59:G59"/>
    <mergeCell ref="D59:E59"/>
    <mergeCell ref="H56:I56"/>
    <mergeCell ref="F56:G56"/>
    <mergeCell ref="L46:M46"/>
    <mergeCell ref="L47:M47"/>
    <mergeCell ref="L48:M48"/>
    <mergeCell ref="B43:C43"/>
    <mergeCell ref="B81:C81"/>
    <mergeCell ref="B85:C85"/>
    <mergeCell ref="B88:C88"/>
    <mergeCell ref="H69:I69"/>
    <mergeCell ref="H70:I70"/>
    <mergeCell ref="D88:E88"/>
    <mergeCell ref="D38:E40"/>
    <mergeCell ref="F38:G40"/>
    <mergeCell ref="H38:I40"/>
    <mergeCell ref="J66:K66"/>
    <mergeCell ref="J67:K67"/>
    <mergeCell ref="J68:K68"/>
    <mergeCell ref="H67:I67"/>
    <mergeCell ref="H68:I68"/>
    <mergeCell ref="J60:K60"/>
    <mergeCell ref="J61:K61"/>
    <mergeCell ref="L60:M60"/>
    <mergeCell ref="L61:M61"/>
    <mergeCell ref="L62:M62"/>
    <mergeCell ref="L63:M63"/>
    <mergeCell ref="L64:M64"/>
    <mergeCell ref="L66:M66"/>
    <mergeCell ref="J62:K62"/>
    <mergeCell ref="J63:K63"/>
    <mergeCell ref="J64:K64"/>
    <mergeCell ref="J65:K65"/>
    <mergeCell ref="J69:K69"/>
    <mergeCell ref="J70:K70"/>
    <mergeCell ref="F88:G88"/>
    <mergeCell ref="D82:E82"/>
    <mergeCell ref="B83:C83"/>
    <mergeCell ref="D84:E84"/>
    <mergeCell ref="B79:C79"/>
    <mergeCell ref="D80:E80"/>
    <mergeCell ref="B80:C80"/>
    <mergeCell ref="A1:N1"/>
    <mergeCell ref="A3:N3"/>
    <mergeCell ref="A7:N7"/>
    <mergeCell ref="A38:A40"/>
    <mergeCell ref="B38:C40"/>
    <mergeCell ref="D79:E79"/>
    <mergeCell ref="F68:G68"/>
    <mergeCell ref="F63:G63"/>
    <mergeCell ref="L67:M67"/>
    <mergeCell ref="L68:M68"/>
    <mergeCell ref="F69:G69"/>
    <mergeCell ref="F70:G70"/>
    <mergeCell ref="H60:I60"/>
    <mergeCell ref="H61:I61"/>
    <mergeCell ref="H62:I62"/>
    <mergeCell ref="H63:I63"/>
    <mergeCell ref="H64:I64"/>
    <mergeCell ref="H65:I65"/>
    <mergeCell ref="H66:I66"/>
    <mergeCell ref="F62:G62"/>
    <mergeCell ref="F65:G65"/>
    <mergeCell ref="F66:G66"/>
    <mergeCell ref="F67:G67"/>
    <mergeCell ref="D65:E65"/>
    <mergeCell ref="D66:E66"/>
    <mergeCell ref="L41:M41"/>
    <mergeCell ref="L65:M65"/>
    <mergeCell ref="B65:C65"/>
    <mergeCell ref="B37:C37"/>
    <mergeCell ref="N111:N113"/>
    <mergeCell ref="B123:C123"/>
    <mergeCell ref="D123:E123"/>
    <mergeCell ref="F123:G123"/>
    <mergeCell ref="L123:M123"/>
    <mergeCell ref="B124:C124"/>
    <mergeCell ref="D124:E124"/>
    <mergeCell ref="F124:G124"/>
    <mergeCell ref="L126:M12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H101:I101"/>
    <mergeCell ref="J101:K101"/>
    <mergeCell ref="H102:I102"/>
    <mergeCell ref="J102:K102"/>
    <mergeCell ref="H103:I103"/>
    <mergeCell ref="J103:K103"/>
    <mergeCell ref="B102:C102"/>
    <mergeCell ref="D102:E102"/>
    <mergeCell ref="F102:G102"/>
    <mergeCell ref="B103:C103"/>
    <mergeCell ref="D103:E103"/>
    <mergeCell ref="F103:G103"/>
    <mergeCell ref="B104:C104"/>
    <mergeCell ref="L132:M132"/>
    <mergeCell ref="B133:C133"/>
    <mergeCell ref="D133:E133"/>
    <mergeCell ref="F133:G133"/>
    <mergeCell ref="H133:I133"/>
    <mergeCell ref="J133:K133"/>
    <mergeCell ref="L133:M133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0:C130"/>
    <mergeCell ref="D130:E130"/>
    <mergeCell ref="B132:C132"/>
    <mergeCell ref="D132:E132"/>
    <mergeCell ref="L137:M137"/>
    <mergeCell ref="B136:C136"/>
    <mergeCell ref="D136:E136"/>
    <mergeCell ref="F136:G136"/>
    <mergeCell ref="H136:I136"/>
    <mergeCell ref="J136:K136"/>
    <mergeCell ref="L136:M136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4:C134"/>
    <mergeCell ref="D134:E134"/>
    <mergeCell ref="L140:M140"/>
    <mergeCell ref="B139:C139"/>
    <mergeCell ref="D139:E139"/>
    <mergeCell ref="F139:G139"/>
    <mergeCell ref="H139:I139"/>
    <mergeCell ref="J139:K139"/>
    <mergeCell ref="L139:M139"/>
    <mergeCell ref="B138:C138"/>
    <mergeCell ref="D138:E138"/>
    <mergeCell ref="F138:G138"/>
    <mergeCell ref="H138:I138"/>
    <mergeCell ref="J138:K138"/>
    <mergeCell ref="L138:M138"/>
    <mergeCell ref="A148:A181"/>
    <mergeCell ref="B148:C148"/>
    <mergeCell ref="D148:E148"/>
    <mergeCell ref="F148:G148"/>
    <mergeCell ref="H148:I148"/>
    <mergeCell ref="J148:K148"/>
    <mergeCell ref="F150:G150"/>
    <mergeCell ref="H150:I150"/>
    <mergeCell ref="J150:K150"/>
    <mergeCell ref="B152:C152"/>
    <mergeCell ref="H144:I144"/>
    <mergeCell ref="J144:K144"/>
    <mergeCell ref="L144:M144"/>
    <mergeCell ref="B143:C143"/>
    <mergeCell ref="D143:E143"/>
    <mergeCell ref="F143:G143"/>
    <mergeCell ref="H143:I143"/>
    <mergeCell ref="J143:K143"/>
    <mergeCell ref="L143:M143"/>
    <mergeCell ref="A111:A144"/>
    <mergeCell ref="B112:C112"/>
    <mergeCell ref="D112:E112"/>
    <mergeCell ref="F112:G112"/>
    <mergeCell ref="B113:C113"/>
    <mergeCell ref="D113:E113"/>
    <mergeCell ref="F113:G113"/>
    <mergeCell ref="B115:C115"/>
    <mergeCell ref="D115:E115"/>
    <mergeCell ref="F115:G115"/>
    <mergeCell ref="B116:C116"/>
    <mergeCell ref="D116:E116"/>
    <mergeCell ref="F116:G116"/>
    <mergeCell ref="N151:N181"/>
    <mergeCell ref="L150:M150"/>
    <mergeCell ref="B151:C151"/>
    <mergeCell ref="D151:E151"/>
    <mergeCell ref="F151:G151"/>
    <mergeCell ref="H151:I151"/>
    <mergeCell ref="J151:K151"/>
    <mergeCell ref="L151:M151"/>
    <mergeCell ref="L148:M148"/>
    <mergeCell ref="N148:N150"/>
    <mergeCell ref="B149:C149"/>
    <mergeCell ref="D149:E149"/>
    <mergeCell ref="F149:G149"/>
    <mergeCell ref="H149:I149"/>
    <mergeCell ref="J149:K149"/>
    <mergeCell ref="L149:M149"/>
    <mergeCell ref="B150:C150"/>
    <mergeCell ref="H154:I154"/>
    <mergeCell ref="J154:K154"/>
    <mergeCell ref="L154:M154"/>
    <mergeCell ref="B153:C153"/>
    <mergeCell ref="D153:E153"/>
    <mergeCell ref="F153:G153"/>
    <mergeCell ref="H153:I153"/>
    <mergeCell ref="J153:K153"/>
    <mergeCell ref="L153:M153"/>
    <mergeCell ref="D152:E152"/>
    <mergeCell ref="F152:G152"/>
    <mergeCell ref="H152:I152"/>
    <mergeCell ref="J152:K152"/>
    <mergeCell ref="L152:M152"/>
    <mergeCell ref="B157:C157"/>
    <mergeCell ref="D157:E157"/>
    <mergeCell ref="F157:G157"/>
    <mergeCell ref="H157:I157"/>
    <mergeCell ref="J157:K157"/>
    <mergeCell ref="L157:M157"/>
    <mergeCell ref="B156:C156"/>
    <mergeCell ref="D156:E156"/>
    <mergeCell ref="F156:G156"/>
    <mergeCell ref="H156:I156"/>
    <mergeCell ref="J156:K156"/>
    <mergeCell ref="L156:M156"/>
    <mergeCell ref="B155:C155"/>
    <mergeCell ref="D155:E155"/>
    <mergeCell ref="F155:G155"/>
    <mergeCell ref="H155:I155"/>
    <mergeCell ref="J155:K155"/>
    <mergeCell ref="L155:M155"/>
    <mergeCell ref="F154:G154"/>
    <mergeCell ref="L160:M160"/>
    <mergeCell ref="B159:C159"/>
    <mergeCell ref="D159:E159"/>
    <mergeCell ref="F159:G159"/>
    <mergeCell ref="H159:I159"/>
    <mergeCell ref="J159:K159"/>
    <mergeCell ref="L159:M159"/>
    <mergeCell ref="B158:C158"/>
    <mergeCell ref="D158:E158"/>
    <mergeCell ref="F158:G158"/>
    <mergeCell ref="H158:I158"/>
    <mergeCell ref="J158:K158"/>
    <mergeCell ref="L158:M158"/>
    <mergeCell ref="B163:C163"/>
    <mergeCell ref="D163:E163"/>
    <mergeCell ref="F163:G163"/>
    <mergeCell ref="H163:I163"/>
    <mergeCell ref="J163:K163"/>
    <mergeCell ref="L163:M163"/>
    <mergeCell ref="B162:C162"/>
    <mergeCell ref="D162:E162"/>
    <mergeCell ref="F162:G162"/>
    <mergeCell ref="H162:I162"/>
    <mergeCell ref="J162:K162"/>
    <mergeCell ref="L162:M162"/>
    <mergeCell ref="B161:C161"/>
    <mergeCell ref="D161:E161"/>
    <mergeCell ref="F161:G161"/>
    <mergeCell ref="H161:I161"/>
    <mergeCell ref="J161:K161"/>
    <mergeCell ref="L161:M161"/>
    <mergeCell ref="L166:M166"/>
    <mergeCell ref="B165:C165"/>
    <mergeCell ref="D165:E165"/>
    <mergeCell ref="F165:G165"/>
    <mergeCell ref="H165:I165"/>
    <mergeCell ref="J165:K165"/>
    <mergeCell ref="L165:M165"/>
    <mergeCell ref="B164:C164"/>
    <mergeCell ref="D164:E164"/>
    <mergeCell ref="F164:G164"/>
    <mergeCell ref="H164:I164"/>
    <mergeCell ref="J164:K164"/>
    <mergeCell ref="L164:M164"/>
    <mergeCell ref="H169:I169"/>
    <mergeCell ref="J169:K169"/>
    <mergeCell ref="L169:M169"/>
    <mergeCell ref="B168:C168"/>
    <mergeCell ref="D168:E168"/>
    <mergeCell ref="F168:G168"/>
    <mergeCell ref="H168:I168"/>
    <mergeCell ref="J168:K168"/>
    <mergeCell ref="L168:M168"/>
    <mergeCell ref="B167:C167"/>
    <mergeCell ref="D167:E167"/>
    <mergeCell ref="F167:G167"/>
    <mergeCell ref="H167:I167"/>
    <mergeCell ref="J167:K167"/>
    <mergeCell ref="L167:M167"/>
    <mergeCell ref="J172:K172"/>
    <mergeCell ref="L172:M172"/>
    <mergeCell ref="B171:C171"/>
    <mergeCell ref="D171:E171"/>
    <mergeCell ref="F171:G171"/>
    <mergeCell ref="H171:I171"/>
    <mergeCell ref="J171:K171"/>
    <mergeCell ref="L171:M171"/>
    <mergeCell ref="B170:C170"/>
    <mergeCell ref="D170:E170"/>
    <mergeCell ref="F170:G170"/>
    <mergeCell ref="H170:I170"/>
    <mergeCell ref="J170:K170"/>
    <mergeCell ref="L170:M170"/>
    <mergeCell ref="B175:C175"/>
    <mergeCell ref="D175:E175"/>
    <mergeCell ref="F175:G175"/>
    <mergeCell ref="H175:I175"/>
    <mergeCell ref="J175:K175"/>
    <mergeCell ref="L175:M175"/>
    <mergeCell ref="B174:C174"/>
    <mergeCell ref="D174:E174"/>
    <mergeCell ref="F174:G174"/>
    <mergeCell ref="H174:I174"/>
    <mergeCell ref="J174:K174"/>
    <mergeCell ref="L174:M174"/>
    <mergeCell ref="B173:C173"/>
    <mergeCell ref="D173:E173"/>
    <mergeCell ref="F173:G173"/>
    <mergeCell ref="H173:I173"/>
    <mergeCell ref="J173:K173"/>
    <mergeCell ref="L173:M173"/>
    <mergeCell ref="J178:K178"/>
    <mergeCell ref="L178:M178"/>
    <mergeCell ref="B177:C177"/>
    <mergeCell ref="D177:E177"/>
    <mergeCell ref="F177:G177"/>
    <mergeCell ref="H177:I177"/>
    <mergeCell ref="J177:K177"/>
    <mergeCell ref="L177:M177"/>
    <mergeCell ref="B176:C176"/>
    <mergeCell ref="D176:E176"/>
    <mergeCell ref="F176:G176"/>
    <mergeCell ref="H176:I176"/>
    <mergeCell ref="J176:K176"/>
    <mergeCell ref="L176:M176"/>
    <mergeCell ref="B181:C181"/>
    <mergeCell ref="D181:E181"/>
    <mergeCell ref="F181:G181"/>
    <mergeCell ref="H181:I181"/>
    <mergeCell ref="J181:K181"/>
    <mergeCell ref="L181:M181"/>
    <mergeCell ref="B180:C180"/>
    <mergeCell ref="D180:E180"/>
    <mergeCell ref="F180:G180"/>
    <mergeCell ref="H180:I180"/>
    <mergeCell ref="J180:K180"/>
    <mergeCell ref="L180:M180"/>
    <mergeCell ref="B179:C179"/>
    <mergeCell ref="D179:E179"/>
    <mergeCell ref="F179:G179"/>
    <mergeCell ref="H179:I179"/>
    <mergeCell ref="J179:K179"/>
    <mergeCell ref="L179:M179"/>
    <mergeCell ref="N108:N110"/>
    <mergeCell ref="N114:N144"/>
    <mergeCell ref="A145:A147"/>
    <mergeCell ref="B145:C147"/>
    <mergeCell ref="D145:E147"/>
    <mergeCell ref="F145:G147"/>
    <mergeCell ref="H145:I147"/>
    <mergeCell ref="J145:K147"/>
    <mergeCell ref="L145:M147"/>
    <mergeCell ref="N145:N147"/>
    <mergeCell ref="A108:A110"/>
    <mergeCell ref="B108:C110"/>
    <mergeCell ref="D108:E110"/>
    <mergeCell ref="F108:G110"/>
    <mergeCell ref="H108:I110"/>
    <mergeCell ref="J108:K110"/>
    <mergeCell ref="B144:C144"/>
    <mergeCell ref="D144:E144"/>
    <mergeCell ref="F144:G144"/>
    <mergeCell ref="B142:C142"/>
    <mergeCell ref="D142:E142"/>
    <mergeCell ref="F142:G142"/>
    <mergeCell ref="H142:I142"/>
    <mergeCell ref="J142:K142"/>
    <mergeCell ref="L142:M142"/>
    <mergeCell ref="B141:C141"/>
    <mergeCell ref="D141:E141"/>
    <mergeCell ref="F141:G141"/>
    <mergeCell ref="H141:I141"/>
    <mergeCell ref="J141:K141"/>
    <mergeCell ref="L141:M141"/>
    <mergeCell ref="B140:C140"/>
    <mergeCell ref="J198:K198"/>
    <mergeCell ref="H199:I199"/>
    <mergeCell ref="J199:K200"/>
    <mergeCell ref="D200:E200"/>
    <mergeCell ref="H200:I200"/>
    <mergeCell ref="B421:C421"/>
    <mergeCell ref="D421:E421"/>
    <mergeCell ref="F421:G421"/>
    <mergeCell ref="B417:C417"/>
    <mergeCell ref="D417:E417"/>
    <mergeCell ref="B201:C203"/>
    <mergeCell ref="F375:G375"/>
    <mergeCell ref="F376:G376"/>
    <mergeCell ref="F377:G377"/>
    <mergeCell ref="F374:G374"/>
    <mergeCell ref="F378:G378"/>
    <mergeCell ref="F347:G347"/>
    <mergeCell ref="F348:G348"/>
    <mergeCell ref="F349:G349"/>
    <mergeCell ref="F346:G346"/>
    <mergeCell ref="F350:G350"/>
    <mergeCell ref="F351:G351"/>
    <mergeCell ref="F354:G354"/>
    <mergeCell ref="F334:G334"/>
    <mergeCell ref="F411:G411"/>
    <mergeCell ref="B412:C412"/>
    <mergeCell ref="D412:E412"/>
    <mergeCell ref="H420:I420"/>
    <mergeCell ref="J405:K414"/>
    <mergeCell ref="B406:C406"/>
    <mergeCell ref="D406:E406"/>
    <mergeCell ref="F406:G406"/>
    <mergeCell ref="J185:K185"/>
    <mergeCell ref="H192:I192"/>
    <mergeCell ref="D193:E193"/>
    <mergeCell ref="H189:I189"/>
    <mergeCell ref="J189:K189"/>
    <mergeCell ref="D190:E190"/>
    <mergeCell ref="H190:I190"/>
    <mergeCell ref="J190:K191"/>
    <mergeCell ref="D191:E191"/>
    <mergeCell ref="H191:I191"/>
    <mergeCell ref="H197:I197"/>
    <mergeCell ref="B189:C191"/>
    <mergeCell ref="D189:E189"/>
    <mergeCell ref="J192:K192"/>
    <mergeCell ref="H193:I193"/>
    <mergeCell ref="J193:K194"/>
    <mergeCell ref="D194:E194"/>
    <mergeCell ref="H194:I194"/>
    <mergeCell ref="B192:C194"/>
    <mergeCell ref="D192:E192"/>
    <mergeCell ref="B195:C197"/>
    <mergeCell ref="D195:E195"/>
    <mergeCell ref="H195:I195"/>
    <mergeCell ref="J195:K195"/>
    <mergeCell ref="D196:E196"/>
    <mergeCell ref="H196:I196"/>
    <mergeCell ref="J196:K197"/>
    <mergeCell ref="D197:E197"/>
    <mergeCell ref="B186:C188"/>
    <mergeCell ref="D186:E186"/>
    <mergeCell ref="H186:I186"/>
    <mergeCell ref="J186:K186"/>
    <mergeCell ref="A415:A424"/>
    <mergeCell ref="B415:C415"/>
    <mergeCell ref="D415:E415"/>
    <mergeCell ref="F415:G415"/>
    <mergeCell ref="J415:K424"/>
    <mergeCell ref="B416:C416"/>
    <mergeCell ref="D187:E187"/>
    <mergeCell ref="H187:I187"/>
    <mergeCell ref="J187:K188"/>
    <mergeCell ref="D188:E188"/>
    <mergeCell ref="H188:I188"/>
    <mergeCell ref="H198:I198"/>
    <mergeCell ref="D199:E199"/>
    <mergeCell ref="F417:G417"/>
    <mergeCell ref="B418:C418"/>
    <mergeCell ref="D418:E418"/>
    <mergeCell ref="F418:G418"/>
    <mergeCell ref="B198:C200"/>
    <mergeCell ref="D198:E198"/>
    <mergeCell ref="D416:E416"/>
    <mergeCell ref="F416:G416"/>
    <mergeCell ref="B413:C413"/>
    <mergeCell ref="D413:E413"/>
    <mergeCell ref="B422:C422"/>
    <mergeCell ref="D401:E401"/>
    <mergeCell ref="D402:E402"/>
    <mergeCell ref="D403:E403"/>
    <mergeCell ref="D419:E419"/>
    <mergeCell ref="A395:A404"/>
    <mergeCell ref="A405:A414"/>
    <mergeCell ref="D405:E405"/>
    <mergeCell ref="F405:G405"/>
    <mergeCell ref="J395:K404"/>
    <mergeCell ref="F400:G400"/>
    <mergeCell ref="B407:C407"/>
    <mergeCell ref="D407:E407"/>
    <mergeCell ref="F407:G407"/>
    <mergeCell ref="B408:C408"/>
    <mergeCell ref="D408:E408"/>
    <mergeCell ref="F408:G408"/>
    <mergeCell ref="B409:C409"/>
    <mergeCell ref="D409:E409"/>
    <mergeCell ref="F409:G409"/>
    <mergeCell ref="B410:C410"/>
    <mergeCell ref="D410:E410"/>
    <mergeCell ref="F410:G410"/>
    <mergeCell ref="F413:G413"/>
    <mergeCell ref="B414:C414"/>
    <mergeCell ref="D414:E414"/>
    <mergeCell ref="F414:G414"/>
    <mergeCell ref="B411:C411"/>
    <mergeCell ref="D411:E411"/>
    <mergeCell ref="B400:C400"/>
    <mergeCell ref="F412:G412"/>
    <mergeCell ref="M388:N388"/>
    <mergeCell ref="B394:C394"/>
    <mergeCell ref="D394:E394"/>
    <mergeCell ref="F394:G394"/>
    <mergeCell ref="H394:I394"/>
    <mergeCell ref="J394:K394"/>
    <mergeCell ref="B402:C402"/>
    <mergeCell ref="B403:C403"/>
    <mergeCell ref="B404:C404"/>
    <mergeCell ref="B405:C405"/>
    <mergeCell ref="D395:E395"/>
    <mergeCell ref="D396:E396"/>
    <mergeCell ref="D397:E397"/>
    <mergeCell ref="D398:E398"/>
    <mergeCell ref="D399:E399"/>
    <mergeCell ref="B395:C395"/>
    <mergeCell ref="F395:G395"/>
    <mergeCell ref="F396:G396"/>
    <mergeCell ref="F397:G397"/>
    <mergeCell ref="F398:G398"/>
    <mergeCell ref="F399:G399"/>
    <mergeCell ref="B401:C401"/>
    <mergeCell ref="B396:C396"/>
    <mergeCell ref="B397:C397"/>
    <mergeCell ref="B398:C398"/>
    <mergeCell ref="B399:C399"/>
    <mergeCell ref="F401:G401"/>
    <mergeCell ref="F402:G402"/>
    <mergeCell ref="F403:G403"/>
    <mergeCell ref="F404:G404"/>
    <mergeCell ref="D400:E400"/>
    <mergeCell ref="D404:E404"/>
    <mergeCell ref="H201:I201"/>
    <mergeCell ref="J201:K201"/>
    <mergeCell ref="D202:E202"/>
    <mergeCell ref="H202:I202"/>
    <mergeCell ref="J202:K203"/>
    <mergeCell ref="D203:E203"/>
    <mergeCell ref="H203:I203"/>
    <mergeCell ref="J219:K219"/>
    <mergeCell ref="I387:J387"/>
    <mergeCell ref="K387:L387"/>
    <mergeCell ref="M386:N387"/>
    <mergeCell ref="A388:B388"/>
    <mergeCell ref="C388:D388"/>
    <mergeCell ref="B220:C222"/>
    <mergeCell ref="D220:E220"/>
    <mergeCell ref="H220:I220"/>
    <mergeCell ref="B219:C219"/>
    <mergeCell ref="F338:G338"/>
    <mergeCell ref="F339:G339"/>
    <mergeCell ref="F341:G341"/>
    <mergeCell ref="F342:G342"/>
    <mergeCell ref="F343:G343"/>
    <mergeCell ref="F340:G340"/>
    <mergeCell ref="F344:G344"/>
    <mergeCell ref="F345:G345"/>
    <mergeCell ref="F335:G335"/>
    <mergeCell ref="F336:G336"/>
    <mergeCell ref="F337:G337"/>
    <mergeCell ref="F294:G294"/>
    <mergeCell ref="F291:G291"/>
    <mergeCell ref="F286:G286"/>
    <mergeCell ref="B207:C209"/>
    <mergeCell ref="H207:I207"/>
    <mergeCell ref="J207:K207"/>
    <mergeCell ref="D208:E208"/>
    <mergeCell ref="H208:I208"/>
    <mergeCell ref="J208:K209"/>
    <mergeCell ref="D209:E209"/>
    <mergeCell ref="H209:I209"/>
    <mergeCell ref="B204:C206"/>
    <mergeCell ref="D204:E204"/>
    <mergeCell ref="H204:I204"/>
    <mergeCell ref="J204:K204"/>
    <mergeCell ref="D205:E205"/>
    <mergeCell ref="H205:I205"/>
    <mergeCell ref="J205:K206"/>
    <mergeCell ref="D206:E206"/>
    <mergeCell ref="H206:I206"/>
    <mergeCell ref="F204:G204"/>
    <mergeCell ref="F205:G205"/>
    <mergeCell ref="F206:G206"/>
    <mergeCell ref="F207:G207"/>
    <mergeCell ref="F208:G208"/>
    <mergeCell ref="F209:G209"/>
    <mergeCell ref="J213:K213"/>
    <mergeCell ref="D214:E214"/>
    <mergeCell ref="H214:I214"/>
    <mergeCell ref="J214:K215"/>
    <mergeCell ref="D215:E215"/>
    <mergeCell ref="H215:I215"/>
    <mergeCell ref="B213:C215"/>
    <mergeCell ref="D213:E213"/>
    <mergeCell ref="H213:I213"/>
    <mergeCell ref="B210:C212"/>
    <mergeCell ref="D210:E210"/>
    <mergeCell ref="H210:I210"/>
    <mergeCell ref="J210:K210"/>
    <mergeCell ref="D211:E211"/>
    <mergeCell ref="H211:I211"/>
    <mergeCell ref="J211:K212"/>
    <mergeCell ref="D212:E212"/>
    <mergeCell ref="H212:I212"/>
    <mergeCell ref="F212:G212"/>
    <mergeCell ref="F213:G213"/>
    <mergeCell ref="F214:G214"/>
    <mergeCell ref="F219:G219"/>
    <mergeCell ref="H219:I219"/>
    <mergeCell ref="J220:K220"/>
    <mergeCell ref="D221:E221"/>
    <mergeCell ref="H221:I221"/>
    <mergeCell ref="J221:K222"/>
    <mergeCell ref="D222:E222"/>
    <mergeCell ref="H222:I222"/>
    <mergeCell ref="B216:C218"/>
    <mergeCell ref="D216:E216"/>
    <mergeCell ref="H216:I216"/>
    <mergeCell ref="J216:K216"/>
    <mergeCell ref="D217:E217"/>
    <mergeCell ref="H217:I217"/>
    <mergeCell ref="J217:K218"/>
    <mergeCell ref="D218:E218"/>
    <mergeCell ref="H218:I218"/>
    <mergeCell ref="J226:K226"/>
    <mergeCell ref="D227:E227"/>
    <mergeCell ref="H227:I227"/>
    <mergeCell ref="J227:K228"/>
    <mergeCell ref="D228:E228"/>
    <mergeCell ref="H228:I228"/>
    <mergeCell ref="B226:C228"/>
    <mergeCell ref="D226:E226"/>
    <mergeCell ref="H226:I226"/>
    <mergeCell ref="B223:C225"/>
    <mergeCell ref="D223:E223"/>
    <mergeCell ref="H223:I223"/>
    <mergeCell ref="J223:K223"/>
    <mergeCell ref="D224:E224"/>
    <mergeCell ref="H224:I224"/>
    <mergeCell ref="J224:K225"/>
    <mergeCell ref="D225:E225"/>
    <mergeCell ref="H225:I225"/>
    <mergeCell ref="J232:K232"/>
    <mergeCell ref="D233:E233"/>
    <mergeCell ref="H233:I233"/>
    <mergeCell ref="J233:K234"/>
    <mergeCell ref="D234:E234"/>
    <mergeCell ref="H234:I234"/>
    <mergeCell ref="B232:C234"/>
    <mergeCell ref="D232:E232"/>
    <mergeCell ref="H232:I232"/>
    <mergeCell ref="B229:C231"/>
    <mergeCell ref="D229:E229"/>
    <mergeCell ref="H229:I229"/>
    <mergeCell ref="J229:K229"/>
    <mergeCell ref="D230:E230"/>
    <mergeCell ref="H230:I230"/>
    <mergeCell ref="J230:K231"/>
    <mergeCell ref="D231:E231"/>
    <mergeCell ref="H231:I231"/>
    <mergeCell ref="H362:I362"/>
    <mergeCell ref="J362:K362"/>
    <mergeCell ref="D359:E359"/>
    <mergeCell ref="H359:I359"/>
    <mergeCell ref="J359:K359"/>
    <mergeCell ref="D360:E360"/>
    <mergeCell ref="D361:E361"/>
    <mergeCell ref="H361:I361"/>
    <mergeCell ref="H360:I360"/>
    <mergeCell ref="D356:E356"/>
    <mergeCell ref="H356:I356"/>
    <mergeCell ref="J355:K355"/>
    <mergeCell ref="D357:E357"/>
    <mergeCell ref="H357:I357"/>
    <mergeCell ref="D358:E358"/>
    <mergeCell ref="H358:I358"/>
    <mergeCell ref="J356:K356"/>
    <mergeCell ref="J238:K238"/>
    <mergeCell ref="D239:E239"/>
    <mergeCell ref="H239:I239"/>
    <mergeCell ref="J239:K240"/>
    <mergeCell ref="D240:E240"/>
    <mergeCell ref="H240:I240"/>
    <mergeCell ref="B238:C240"/>
    <mergeCell ref="D238:E238"/>
    <mergeCell ref="H238:I238"/>
    <mergeCell ref="B235:C237"/>
    <mergeCell ref="D235:E235"/>
    <mergeCell ref="H235:I235"/>
    <mergeCell ref="J235:K235"/>
    <mergeCell ref="D236:E236"/>
    <mergeCell ref="H236:I236"/>
    <mergeCell ref="J236:K237"/>
    <mergeCell ref="D237:E237"/>
    <mergeCell ref="H237:I237"/>
    <mergeCell ref="J244:K244"/>
    <mergeCell ref="D245:E245"/>
    <mergeCell ref="H245:I245"/>
    <mergeCell ref="J245:K246"/>
    <mergeCell ref="D246:E246"/>
    <mergeCell ref="H246:I246"/>
    <mergeCell ref="B244:C246"/>
    <mergeCell ref="D244:E244"/>
    <mergeCell ref="H244:I244"/>
    <mergeCell ref="B241:C243"/>
    <mergeCell ref="D241:E241"/>
    <mergeCell ref="H241:I241"/>
    <mergeCell ref="J241:K241"/>
    <mergeCell ref="D242:E242"/>
    <mergeCell ref="H242:I242"/>
    <mergeCell ref="J242:K243"/>
    <mergeCell ref="D243:E243"/>
    <mergeCell ref="H243:I243"/>
    <mergeCell ref="F244:G244"/>
    <mergeCell ref="F241:G241"/>
    <mergeCell ref="F245:G245"/>
    <mergeCell ref="J250:K250"/>
    <mergeCell ref="D251:E251"/>
    <mergeCell ref="H251:I251"/>
    <mergeCell ref="J251:K252"/>
    <mergeCell ref="D252:E252"/>
    <mergeCell ref="H252:I252"/>
    <mergeCell ref="B250:C252"/>
    <mergeCell ref="D250:E250"/>
    <mergeCell ref="H250:I250"/>
    <mergeCell ref="B247:C249"/>
    <mergeCell ref="D247:E247"/>
    <mergeCell ref="H247:I247"/>
    <mergeCell ref="J247:K247"/>
    <mergeCell ref="D248:E248"/>
    <mergeCell ref="H248:I248"/>
    <mergeCell ref="J248:K249"/>
    <mergeCell ref="D249:E249"/>
    <mergeCell ref="H249:I249"/>
    <mergeCell ref="J257:K257"/>
    <mergeCell ref="D258:E258"/>
    <mergeCell ref="H258:I258"/>
    <mergeCell ref="J258:K259"/>
    <mergeCell ref="D259:E259"/>
    <mergeCell ref="H259:I259"/>
    <mergeCell ref="B257:C259"/>
    <mergeCell ref="D257:E257"/>
    <mergeCell ref="H257:I257"/>
    <mergeCell ref="B254:C256"/>
    <mergeCell ref="D254:E254"/>
    <mergeCell ref="H254:I254"/>
    <mergeCell ref="J254:K254"/>
    <mergeCell ref="D255:E255"/>
    <mergeCell ref="H255:I255"/>
    <mergeCell ref="J255:K256"/>
    <mergeCell ref="D256:E256"/>
    <mergeCell ref="H256:I256"/>
    <mergeCell ref="F256:G256"/>
    <mergeCell ref="F257:G257"/>
    <mergeCell ref="F254:G254"/>
    <mergeCell ref="F258:G258"/>
    <mergeCell ref="J263:K263"/>
    <mergeCell ref="D264:E264"/>
    <mergeCell ref="H264:I264"/>
    <mergeCell ref="J264:K265"/>
    <mergeCell ref="D265:E265"/>
    <mergeCell ref="H265:I265"/>
    <mergeCell ref="B263:C265"/>
    <mergeCell ref="D263:E263"/>
    <mergeCell ref="H263:I263"/>
    <mergeCell ref="B260:C262"/>
    <mergeCell ref="D260:E260"/>
    <mergeCell ref="H260:I260"/>
    <mergeCell ref="J260:K260"/>
    <mergeCell ref="D261:E261"/>
    <mergeCell ref="H261:I261"/>
    <mergeCell ref="J261:K262"/>
    <mergeCell ref="D262:E262"/>
    <mergeCell ref="H262:I262"/>
    <mergeCell ref="F264:G264"/>
    <mergeCell ref="F265:G265"/>
    <mergeCell ref="F262:G262"/>
    <mergeCell ref="F263:G263"/>
    <mergeCell ref="F260:G260"/>
    <mergeCell ref="J269:K269"/>
    <mergeCell ref="D270:E270"/>
    <mergeCell ref="H270:I270"/>
    <mergeCell ref="J270:K271"/>
    <mergeCell ref="D271:E271"/>
    <mergeCell ref="H271:I271"/>
    <mergeCell ref="B269:C271"/>
    <mergeCell ref="D269:E269"/>
    <mergeCell ref="H269:I269"/>
    <mergeCell ref="B266:C268"/>
    <mergeCell ref="D266:E266"/>
    <mergeCell ref="H266:I266"/>
    <mergeCell ref="J266:K266"/>
    <mergeCell ref="D267:E267"/>
    <mergeCell ref="H267:I267"/>
    <mergeCell ref="J267:K268"/>
    <mergeCell ref="D268:E268"/>
    <mergeCell ref="H268:I268"/>
    <mergeCell ref="F270:G270"/>
    <mergeCell ref="F271:G271"/>
    <mergeCell ref="F267:G267"/>
    <mergeCell ref="F268:G268"/>
    <mergeCell ref="F269:G269"/>
    <mergeCell ref="F266:G266"/>
    <mergeCell ref="J275:K275"/>
    <mergeCell ref="D276:E276"/>
    <mergeCell ref="H276:I276"/>
    <mergeCell ref="J276:K277"/>
    <mergeCell ref="D277:E277"/>
    <mergeCell ref="H277:I277"/>
    <mergeCell ref="B275:C277"/>
    <mergeCell ref="D275:E275"/>
    <mergeCell ref="H275:I275"/>
    <mergeCell ref="B272:C274"/>
    <mergeCell ref="D272:E272"/>
    <mergeCell ref="H272:I272"/>
    <mergeCell ref="J272:K272"/>
    <mergeCell ref="D273:E273"/>
    <mergeCell ref="H273:I273"/>
    <mergeCell ref="J273:K274"/>
    <mergeCell ref="D274:E274"/>
    <mergeCell ref="H274:I274"/>
    <mergeCell ref="F276:G276"/>
    <mergeCell ref="F277:G277"/>
    <mergeCell ref="F273:G273"/>
    <mergeCell ref="F274:G274"/>
    <mergeCell ref="F275:G275"/>
    <mergeCell ref="F272:G272"/>
    <mergeCell ref="J281:K281"/>
    <mergeCell ref="D282:E282"/>
    <mergeCell ref="H282:I282"/>
    <mergeCell ref="J282:K283"/>
    <mergeCell ref="D283:E283"/>
    <mergeCell ref="H283:I283"/>
    <mergeCell ref="B281:C283"/>
    <mergeCell ref="D281:E281"/>
    <mergeCell ref="H281:I281"/>
    <mergeCell ref="B278:C280"/>
    <mergeCell ref="D278:E278"/>
    <mergeCell ref="H278:I278"/>
    <mergeCell ref="J278:K278"/>
    <mergeCell ref="D279:E279"/>
    <mergeCell ref="H279:I279"/>
    <mergeCell ref="J279:K280"/>
    <mergeCell ref="D280:E280"/>
    <mergeCell ref="H280:I280"/>
    <mergeCell ref="F280:G280"/>
    <mergeCell ref="F281:G281"/>
    <mergeCell ref="F278:G278"/>
    <mergeCell ref="F282:G282"/>
    <mergeCell ref="F283:G283"/>
    <mergeCell ref="F279:G279"/>
    <mergeCell ref="J288:K288"/>
    <mergeCell ref="D289:E289"/>
    <mergeCell ref="H289:I289"/>
    <mergeCell ref="J289:K290"/>
    <mergeCell ref="D290:E290"/>
    <mergeCell ref="H290:I290"/>
    <mergeCell ref="B288:C290"/>
    <mergeCell ref="D288:E288"/>
    <mergeCell ref="H288:I288"/>
    <mergeCell ref="B284:C286"/>
    <mergeCell ref="D284:E284"/>
    <mergeCell ref="H284:I284"/>
    <mergeCell ref="J284:K284"/>
    <mergeCell ref="D285:E285"/>
    <mergeCell ref="H285:I285"/>
    <mergeCell ref="J285:K286"/>
    <mergeCell ref="D286:E286"/>
    <mergeCell ref="H286:I286"/>
    <mergeCell ref="F285:G285"/>
    <mergeCell ref="F284:G284"/>
    <mergeCell ref="J294:K294"/>
    <mergeCell ref="D295:E295"/>
    <mergeCell ref="H295:I295"/>
    <mergeCell ref="J295:K296"/>
    <mergeCell ref="D296:E296"/>
    <mergeCell ref="H296:I296"/>
    <mergeCell ref="B294:C296"/>
    <mergeCell ref="D294:E294"/>
    <mergeCell ref="H294:I294"/>
    <mergeCell ref="B291:C293"/>
    <mergeCell ref="D291:E291"/>
    <mergeCell ref="H291:I291"/>
    <mergeCell ref="J291:K291"/>
    <mergeCell ref="D292:E292"/>
    <mergeCell ref="H292:I292"/>
    <mergeCell ref="J292:K293"/>
    <mergeCell ref="D293:E293"/>
    <mergeCell ref="H293:I293"/>
    <mergeCell ref="J300:K300"/>
    <mergeCell ref="D301:E301"/>
    <mergeCell ref="H301:I301"/>
    <mergeCell ref="J301:K302"/>
    <mergeCell ref="D302:E302"/>
    <mergeCell ref="H302:I302"/>
    <mergeCell ref="B300:C302"/>
    <mergeCell ref="D300:E300"/>
    <mergeCell ref="H300:I300"/>
    <mergeCell ref="B297:C299"/>
    <mergeCell ref="D297:E297"/>
    <mergeCell ref="H297:I297"/>
    <mergeCell ref="J297:K297"/>
    <mergeCell ref="D298:E298"/>
    <mergeCell ref="H298:I298"/>
    <mergeCell ref="J298:K299"/>
    <mergeCell ref="D299:E299"/>
    <mergeCell ref="H299:I299"/>
    <mergeCell ref="J306:K306"/>
    <mergeCell ref="D307:E307"/>
    <mergeCell ref="H307:I307"/>
    <mergeCell ref="J307:K308"/>
    <mergeCell ref="D308:E308"/>
    <mergeCell ref="H308:I308"/>
    <mergeCell ref="B306:C308"/>
    <mergeCell ref="D306:E306"/>
    <mergeCell ref="H306:I306"/>
    <mergeCell ref="B303:C305"/>
    <mergeCell ref="D303:E303"/>
    <mergeCell ref="H303:I303"/>
    <mergeCell ref="J303:K303"/>
    <mergeCell ref="D304:E304"/>
    <mergeCell ref="H304:I304"/>
    <mergeCell ref="J304:K305"/>
    <mergeCell ref="D305:E305"/>
    <mergeCell ref="H305:I305"/>
    <mergeCell ref="F306:G306"/>
    <mergeCell ref="F303:G303"/>
    <mergeCell ref="F307:G307"/>
    <mergeCell ref="F308:G308"/>
    <mergeCell ref="J312:K312"/>
    <mergeCell ref="D313:E313"/>
    <mergeCell ref="H313:I313"/>
    <mergeCell ref="J313:K314"/>
    <mergeCell ref="D314:E314"/>
    <mergeCell ref="H314:I314"/>
    <mergeCell ref="B312:C314"/>
    <mergeCell ref="D312:E312"/>
    <mergeCell ref="H312:I312"/>
    <mergeCell ref="B309:C311"/>
    <mergeCell ref="D309:E309"/>
    <mergeCell ref="H309:I309"/>
    <mergeCell ref="J309:K309"/>
    <mergeCell ref="D310:E310"/>
    <mergeCell ref="H310:I310"/>
    <mergeCell ref="J310:K311"/>
    <mergeCell ref="D311:E311"/>
    <mergeCell ref="H311:I311"/>
    <mergeCell ref="F312:G312"/>
    <mergeCell ref="F313:G313"/>
    <mergeCell ref="F314:G314"/>
    <mergeCell ref="F310:G310"/>
    <mergeCell ref="F311:G311"/>
    <mergeCell ref="F309:G309"/>
    <mergeCell ref="J318:K318"/>
    <mergeCell ref="D319:E319"/>
    <mergeCell ref="H319:I319"/>
    <mergeCell ref="J319:K320"/>
    <mergeCell ref="D320:E320"/>
    <mergeCell ref="H320:I320"/>
    <mergeCell ref="B318:C320"/>
    <mergeCell ref="D318:E318"/>
    <mergeCell ref="H318:I318"/>
    <mergeCell ref="B315:C317"/>
    <mergeCell ref="D315:E315"/>
    <mergeCell ref="H315:I315"/>
    <mergeCell ref="J315:K315"/>
    <mergeCell ref="D316:E316"/>
    <mergeCell ref="H316:I316"/>
    <mergeCell ref="J316:K317"/>
    <mergeCell ref="D317:E317"/>
    <mergeCell ref="H317:I317"/>
    <mergeCell ref="F319:G319"/>
    <mergeCell ref="F320:G320"/>
    <mergeCell ref="F316:G316"/>
    <mergeCell ref="F317:G317"/>
    <mergeCell ref="F318:G318"/>
    <mergeCell ref="F315:G315"/>
    <mergeCell ref="J325:K325"/>
    <mergeCell ref="D326:E326"/>
    <mergeCell ref="H326:I326"/>
    <mergeCell ref="J326:K327"/>
    <mergeCell ref="D327:E327"/>
    <mergeCell ref="H327:I327"/>
    <mergeCell ref="B325:C327"/>
    <mergeCell ref="D325:E325"/>
    <mergeCell ref="H325:I325"/>
    <mergeCell ref="B322:C324"/>
    <mergeCell ref="D322:E322"/>
    <mergeCell ref="H322:I322"/>
    <mergeCell ref="J322:K322"/>
    <mergeCell ref="D323:E323"/>
    <mergeCell ref="H323:I323"/>
    <mergeCell ref="J323:K324"/>
    <mergeCell ref="D324:E324"/>
    <mergeCell ref="H324:I324"/>
    <mergeCell ref="F323:G323"/>
    <mergeCell ref="F324:G324"/>
    <mergeCell ref="F325:G325"/>
    <mergeCell ref="F322:G322"/>
    <mergeCell ref="F326:G326"/>
    <mergeCell ref="F327:G327"/>
    <mergeCell ref="J331:K331"/>
    <mergeCell ref="D332:E332"/>
    <mergeCell ref="H332:I332"/>
    <mergeCell ref="J332:K333"/>
    <mergeCell ref="D333:E333"/>
    <mergeCell ref="H333:I333"/>
    <mergeCell ref="B331:C333"/>
    <mergeCell ref="D331:E331"/>
    <mergeCell ref="H331:I331"/>
    <mergeCell ref="B328:C330"/>
    <mergeCell ref="D328:E328"/>
    <mergeCell ref="H328:I328"/>
    <mergeCell ref="J328:K328"/>
    <mergeCell ref="D329:E329"/>
    <mergeCell ref="H329:I329"/>
    <mergeCell ref="J329:K330"/>
    <mergeCell ref="D330:E330"/>
    <mergeCell ref="H330:I330"/>
    <mergeCell ref="F329:G329"/>
    <mergeCell ref="F330:G330"/>
    <mergeCell ref="F331:G331"/>
    <mergeCell ref="F328:G328"/>
    <mergeCell ref="F332:G332"/>
    <mergeCell ref="F333:G333"/>
    <mergeCell ref="J337:K337"/>
    <mergeCell ref="D338:E338"/>
    <mergeCell ref="H338:I338"/>
    <mergeCell ref="J338:K339"/>
    <mergeCell ref="D339:E339"/>
    <mergeCell ref="H339:I339"/>
    <mergeCell ref="B337:C339"/>
    <mergeCell ref="D337:E337"/>
    <mergeCell ref="H337:I337"/>
    <mergeCell ref="B334:C336"/>
    <mergeCell ref="D334:E334"/>
    <mergeCell ref="H334:I334"/>
    <mergeCell ref="J334:K334"/>
    <mergeCell ref="D335:E335"/>
    <mergeCell ref="H335:I335"/>
    <mergeCell ref="J335:K336"/>
    <mergeCell ref="D336:E336"/>
    <mergeCell ref="H336:I336"/>
    <mergeCell ref="J343:K343"/>
    <mergeCell ref="D344:E344"/>
    <mergeCell ref="H344:I344"/>
    <mergeCell ref="J344:K345"/>
    <mergeCell ref="D345:E345"/>
    <mergeCell ref="H345:I345"/>
    <mergeCell ref="B343:C345"/>
    <mergeCell ref="D343:E343"/>
    <mergeCell ref="H343:I343"/>
    <mergeCell ref="B340:C342"/>
    <mergeCell ref="D340:E340"/>
    <mergeCell ref="H340:I340"/>
    <mergeCell ref="J340:K340"/>
    <mergeCell ref="D341:E341"/>
    <mergeCell ref="H341:I341"/>
    <mergeCell ref="J341:K342"/>
    <mergeCell ref="D342:E342"/>
    <mergeCell ref="H342:I342"/>
    <mergeCell ref="J349:K349"/>
    <mergeCell ref="D350:E350"/>
    <mergeCell ref="H350:I350"/>
    <mergeCell ref="J350:K351"/>
    <mergeCell ref="D351:E351"/>
    <mergeCell ref="B355:C355"/>
    <mergeCell ref="D355:E355"/>
    <mergeCell ref="F355:G355"/>
    <mergeCell ref="H355:I355"/>
    <mergeCell ref="H351:I351"/>
    <mergeCell ref="B349:C351"/>
    <mergeCell ref="D349:E349"/>
    <mergeCell ref="H349:I349"/>
    <mergeCell ref="B346:C348"/>
    <mergeCell ref="D346:E346"/>
    <mergeCell ref="H346:I346"/>
    <mergeCell ref="J346:K346"/>
    <mergeCell ref="D347:E347"/>
    <mergeCell ref="H347:I347"/>
    <mergeCell ref="J347:K348"/>
    <mergeCell ref="D348:E348"/>
    <mergeCell ref="H348:I348"/>
    <mergeCell ref="D352:E352"/>
    <mergeCell ref="H352:I352"/>
    <mergeCell ref="J352:K352"/>
    <mergeCell ref="D353:E353"/>
    <mergeCell ref="H353:I353"/>
    <mergeCell ref="J353:K354"/>
    <mergeCell ref="D354:E354"/>
    <mergeCell ref="H354:I354"/>
    <mergeCell ref="F352:G352"/>
    <mergeCell ref="F353:G353"/>
    <mergeCell ref="J372:K373"/>
    <mergeCell ref="D373:E373"/>
    <mergeCell ref="H373:I373"/>
    <mergeCell ref="B368:C370"/>
    <mergeCell ref="D369:E369"/>
    <mergeCell ref="H369:I369"/>
    <mergeCell ref="J369:K370"/>
    <mergeCell ref="D370:E370"/>
    <mergeCell ref="H370:I370"/>
    <mergeCell ref="J368:K368"/>
    <mergeCell ref="B362:C364"/>
    <mergeCell ref="J363:K364"/>
    <mergeCell ref="B365:C367"/>
    <mergeCell ref="J366:K367"/>
    <mergeCell ref="B356:C358"/>
    <mergeCell ref="J357:K358"/>
    <mergeCell ref="B359:C361"/>
    <mergeCell ref="J360:K361"/>
    <mergeCell ref="J365:K365"/>
    <mergeCell ref="D366:E366"/>
    <mergeCell ref="H366:I366"/>
    <mergeCell ref="H367:I367"/>
    <mergeCell ref="D368:E368"/>
    <mergeCell ref="H368:I368"/>
    <mergeCell ref="D367:E367"/>
    <mergeCell ref="D363:E363"/>
    <mergeCell ref="H363:I363"/>
    <mergeCell ref="D364:E364"/>
    <mergeCell ref="H364:I364"/>
    <mergeCell ref="D365:E365"/>
    <mergeCell ref="H365:I365"/>
    <mergeCell ref="D362:E362"/>
    <mergeCell ref="J253:K253"/>
    <mergeCell ref="A235:A252"/>
    <mergeCell ref="A254:A283"/>
    <mergeCell ref="B287:C287"/>
    <mergeCell ref="D287:E287"/>
    <mergeCell ref="F287:G287"/>
    <mergeCell ref="H287:I287"/>
    <mergeCell ref="J287:K287"/>
    <mergeCell ref="A186:A218"/>
    <mergeCell ref="A220:A234"/>
    <mergeCell ref="B253:C253"/>
    <mergeCell ref="D253:E253"/>
    <mergeCell ref="F253:G253"/>
    <mergeCell ref="H253:I253"/>
    <mergeCell ref="B380:C382"/>
    <mergeCell ref="D380:E380"/>
    <mergeCell ref="H380:I380"/>
    <mergeCell ref="J380:K380"/>
    <mergeCell ref="D381:E381"/>
    <mergeCell ref="H381:I381"/>
    <mergeCell ref="J381:K382"/>
    <mergeCell ref="D382:E382"/>
    <mergeCell ref="H382:I382"/>
    <mergeCell ref="J377:K377"/>
    <mergeCell ref="D378:E378"/>
    <mergeCell ref="H378:I378"/>
    <mergeCell ref="J378:K379"/>
    <mergeCell ref="D379:E379"/>
    <mergeCell ref="H379:I379"/>
    <mergeCell ref="B377:C379"/>
    <mergeCell ref="D377:E377"/>
    <mergeCell ref="H377:I377"/>
    <mergeCell ref="A334:A354"/>
    <mergeCell ref="B352:C354"/>
    <mergeCell ref="B435:C435"/>
    <mergeCell ref="D435:E435"/>
    <mergeCell ref="F435:G435"/>
    <mergeCell ref="A356:A382"/>
    <mergeCell ref="E387:F387"/>
    <mergeCell ref="G387:H387"/>
    <mergeCell ref="E386:L386"/>
    <mergeCell ref="A386:B387"/>
    <mergeCell ref="A284:A286"/>
    <mergeCell ref="F321:G321"/>
    <mergeCell ref="H321:I321"/>
    <mergeCell ref="J321:K321"/>
    <mergeCell ref="A288:A320"/>
    <mergeCell ref="A322:A333"/>
    <mergeCell ref="B321:C321"/>
    <mergeCell ref="D321:E321"/>
    <mergeCell ref="B374:C376"/>
    <mergeCell ref="D374:E374"/>
    <mergeCell ref="H374:I374"/>
    <mergeCell ref="J374:K374"/>
    <mergeCell ref="D375:E375"/>
    <mergeCell ref="H375:I375"/>
    <mergeCell ref="J375:K376"/>
    <mergeCell ref="D376:E376"/>
    <mergeCell ref="H376:I376"/>
    <mergeCell ref="B371:C373"/>
    <mergeCell ref="D371:E371"/>
    <mergeCell ref="H371:I371"/>
    <mergeCell ref="J371:K371"/>
    <mergeCell ref="H372:I372"/>
  </mergeCells>
  <phoneticPr fontId="0" type="noConversion"/>
  <pageMargins left="0.98425196850393704" right="0.39370078740157483" top="0.59055118110236227" bottom="0.59055118110236227" header="0.51181102362204722" footer="0.31496062992125984"/>
  <pageSetup paperSize="9" orientation="landscape" r:id="rId1"/>
  <headerFooter alignWithMargins="0">
    <oddFooter>&amp;R&amp;"Times New Roman,обычный"Страница &amp;P из &amp;N</oddFooter>
  </headerFooter>
  <rowBreaks count="4" manualBreakCount="4">
    <brk id="70" max="16383" man="1"/>
    <brk id="107" max="16383" man="1"/>
    <brk id="144" max="16383" man="1"/>
    <brk id="1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2022-01-28T10:37:41Z</cp:lastPrinted>
  <dcterms:created xsi:type="dcterms:W3CDTF">1996-10-08T23:32:33Z</dcterms:created>
  <dcterms:modified xsi:type="dcterms:W3CDTF">2026-04-24T12:26:20Z</dcterms:modified>
</cp:coreProperties>
</file>